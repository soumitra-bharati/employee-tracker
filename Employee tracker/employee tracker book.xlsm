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66925"/>
  <mc:AlternateContent xmlns:mc="http://schemas.openxmlformats.org/markup-compatibility/2006">
    <mc:Choice Requires="x15">
      <x15ac:absPath xmlns:x15ac="http://schemas.microsoft.com/office/spreadsheetml/2010/11/ac" url="C:\Users\soumitra\Desktop\DS\Projects\Employee tracker\"/>
    </mc:Choice>
  </mc:AlternateContent>
  <xr:revisionPtr revIDLastSave="0" documentId="13_ncr:1_{FA44C527-B41F-4047-9D7E-4365E1C27E4A}" xr6:coauthVersionLast="44" xr6:coauthVersionMax="44" xr10:uidLastSave="{00000000-0000-0000-0000-000000000000}"/>
  <bookViews>
    <workbookView xWindow="-120" yWindow="-120" windowWidth="29040" windowHeight="15720" activeTab="1" xr2:uid="{A38B1950-70EC-412C-86C0-05548318986C}"/>
  </bookViews>
  <sheets>
    <sheet name="welcome" sheetId="1" r:id="rId1"/>
    <sheet name="Dashboard" sheetId="3" r:id="rId2"/>
    <sheet name="data" sheetId="8" r:id="rId3"/>
    <sheet name="lists" sheetId="4" r:id="rId4"/>
    <sheet name="pivot tables" sheetId="9" r:id="rId5"/>
  </sheets>
  <definedNames>
    <definedName name="Slicer_assets_return">#N/A</definedName>
    <definedName name="Slicer_clearance_status">#N/A</definedName>
    <definedName name="Slicer_department">#N/A</definedName>
    <definedName name="Slicer_designation">#N/A</definedName>
    <definedName name="Slicer_exit_interview">#N/A</definedName>
    <definedName name="Slicer_final_settlement">#N/A</definedName>
    <definedName name="tbl_offboarding">Table2[]</definedName>
    <definedName name="tbl_offborading">Table2[]</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17" i="8" l="1"/>
  <c r="F8" i="8" l="1"/>
  <c r="F10" i="8"/>
  <c r="F12" i="8"/>
  <c r="F16" i="8"/>
  <c r="F19" i="8"/>
  <c r="F3" i="8"/>
  <c r="F6" i="8"/>
  <c r="F7" i="8"/>
  <c r="F13" i="8"/>
  <c r="F15" i="8"/>
  <c r="F18" i="8"/>
  <c r="F21"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D56417-0247-4DEA-B188-58529D87D5BA}" keepAlive="1" name="Query - HREmployeeAttrition" description="Connection to the 'HREmployeeAttrition' query in the workbook." type="5" refreshedVersion="6" background="1">
    <dbPr connection="Provider=Microsoft.Mashup.OleDb.1;Data Source=$Workbook$;Location=HREmployeeAttrition;Extended Properties=&quot;&quot;" command="SELECT * FROM [HREmployeeAttrition]"/>
  </connection>
</connections>
</file>

<file path=xl/sharedStrings.xml><?xml version="1.0" encoding="utf-8"?>
<sst xmlns="http://schemas.openxmlformats.org/spreadsheetml/2006/main" count="265" uniqueCount="71">
  <si>
    <t>Yes</t>
  </si>
  <si>
    <t>Sales</t>
  </si>
  <si>
    <t>Sales Executive</t>
  </si>
  <si>
    <t>No</t>
  </si>
  <si>
    <t>Marketing</t>
  </si>
  <si>
    <t>emp_id</t>
  </si>
  <si>
    <t>emp_name</t>
  </si>
  <si>
    <t>department</t>
  </si>
  <si>
    <t>designation</t>
  </si>
  <si>
    <t>DOR</t>
  </si>
  <si>
    <t>manager_name</t>
  </si>
  <si>
    <t>last_working_day</t>
  </si>
  <si>
    <t>exit_interview</t>
  </si>
  <si>
    <t>assets_return</t>
  </si>
  <si>
    <t>clearance_status</t>
  </si>
  <si>
    <t>final_settlement</t>
  </si>
  <si>
    <t>remarks</t>
  </si>
  <si>
    <t>Soumitra Bharati</t>
  </si>
  <si>
    <t>Rupam Sharnagat</t>
  </si>
  <si>
    <t>Sudhanshu Pandey</t>
  </si>
  <si>
    <t>Surya Mudaliar</t>
  </si>
  <si>
    <t>Akash Yadav</t>
  </si>
  <si>
    <t>Yash Pawar</t>
  </si>
  <si>
    <t>Shubham Kadam</t>
  </si>
  <si>
    <t>Vedant Gawade</t>
  </si>
  <si>
    <t>Aryan Sonawane</t>
  </si>
  <si>
    <t>Nikith Aanchan</t>
  </si>
  <si>
    <t>Prathamesh Raut</t>
  </si>
  <si>
    <t>Vatsal Singh</t>
  </si>
  <si>
    <t>Tanmay Kulia</t>
  </si>
  <si>
    <t>Prajjwal Dashputre</t>
  </si>
  <si>
    <t>Vishal Pujari</t>
  </si>
  <si>
    <t>Deepak Tiwari</t>
  </si>
  <si>
    <t>Ashutosh Thakur</t>
  </si>
  <si>
    <t>Nainesh Redkar</t>
  </si>
  <si>
    <t>Tushar Massey</t>
  </si>
  <si>
    <t>Aaditya Bhogle</t>
  </si>
  <si>
    <t>IT</t>
  </si>
  <si>
    <t>Finance</t>
  </si>
  <si>
    <t>HR</t>
  </si>
  <si>
    <t>HR Analyst</t>
  </si>
  <si>
    <t>Marketing Analyst</t>
  </si>
  <si>
    <t>Accountant</t>
  </si>
  <si>
    <t>Developer</t>
  </si>
  <si>
    <t>Marketing Head</t>
  </si>
  <si>
    <t>Marketing Manager</t>
  </si>
  <si>
    <t>IT Manager</t>
  </si>
  <si>
    <t>Finance Manager</t>
  </si>
  <si>
    <t>Sales Manager</t>
  </si>
  <si>
    <t>HR Manager</t>
  </si>
  <si>
    <t>Junior HR Analyst</t>
  </si>
  <si>
    <t>Not Applicable</t>
  </si>
  <si>
    <t>Pending</t>
  </si>
  <si>
    <t>Completed</t>
  </si>
  <si>
    <t>all clear</t>
  </si>
  <si>
    <t>no exit interview</t>
  </si>
  <si>
    <t>department_list</t>
  </si>
  <si>
    <t>designation_list</t>
  </si>
  <si>
    <t>manager_list</t>
  </si>
  <si>
    <t>Tushar Mssey</t>
  </si>
  <si>
    <t>Grand Total</t>
  </si>
  <si>
    <t>Row Labels</t>
  </si>
  <si>
    <t>Count of emp_id</t>
  </si>
  <si>
    <t># of emp by designation</t>
  </si>
  <si>
    <t># of emp by dept</t>
  </si>
  <si>
    <t># of emp by clearance status</t>
  </si>
  <si>
    <t># of emp by assets return</t>
  </si>
  <si>
    <t># of emp by exit interview</t>
  </si>
  <si>
    <t># of emp by final settlement</t>
  </si>
  <si>
    <t># of emp by manager name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</si>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</sst>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2">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onnections" Target="connection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tables!PivotTable1</c:name>
    <c:fmtId val="2"/>
  </c:pivotSource>
  <c:chart>
    <c:title>
      <c:tx>
        <c:rich>
          <a:bodyPr rot="0" spcFirstLastPara="1" vertOverflow="ellipsis" vert="horz" wrap="square" anchor="ctr" anchorCtr="1"/>
          <a:lstStyle/>
          <a:p>
            <a:pPr>
              <a:defRPr sz="1600" b="1" i="0" u="none" strike="noStrike" kern="1200" cap="none" baseline="0">
                <a:solidFill>
                  <a:schemeClr val="tx1">
                    <a:lumMod val="65000"/>
                    <a:lumOff val="35000"/>
                  </a:schemeClr>
                </a:solidFill>
                <a:latin typeface="+mn-lt"/>
                <a:ea typeface="+mn-ea"/>
                <a:cs typeface="+mn-cs"/>
              </a:defRPr>
            </a:pPr>
            <a:r>
              <a:rPr lang="en-US" cap="none" baseline="0"/>
              <a:t># of Employees by Dept</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tables'!$B$3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50F0-4A0B-83A6-9AD8DFA80407}"/>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50F0-4A0B-83A6-9AD8DFA80407}"/>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50F0-4A0B-83A6-9AD8DFA80407}"/>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50F0-4A0B-83A6-9AD8DFA80407}"/>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50F0-4A0B-83A6-9AD8DFA8040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tables'!$A$4:$A$9</c:f>
              <c:strCache>
                <c:ptCount val="5"/>
                <c:pt idx="0">
                  <c:v>Finance</c:v>
                </c:pt>
                <c:pt idx="1">
                  <c:v>HR</c:v>
                </c:pt>
                <c:pt idx="2">
                  <c:v>IT</c:v>
                </c:pt>
                <c:pt idx="3">
                  <c:v>Marketing</c:v>
                </c:pt>
                <c:pt idx="4">
                  <c:v>Sales</c:v>
                </c:pt>
              </c:strCache>
            </c:strRef>
          </c:cat>
          <c:val>
            <c:numRef>
              <c:f>'pivot tables'!$B$4:$B$9</c:f>
              <c:numCache>
                <c:formatCode>General</c:formatCode>
                <c:ptCount val="5"/>
                <c:pt idx="0">
                  <c:v>3</c:v>
                </c:pt>
                <c:pt idx="1">
                  <c:v>4</c:v>
                </c:pt>
                <c:pt idx="2">
                  <c:v>5</c:v>
                </c:pt>
                <c:pt idx="3">
                  <c:v>4</c:v>
                </c:pt>
                <c:pt idx="4">
                  <c:v>4</c:v>
                </c:pt>
              </c:numCache>
            </c:numRef>
          </c:val>
          <c:extLst>
            <c:ext xmlns:c16="http://schemas.microsoft.com/office/drawing/2014/chart" uri="{C3380CC4-5D6E-409C-BE32-E72D297353CC}">
              <c16:uniqueId val="{0000000A-50F0-4A0B-83A6-9AD8DFA80407}"/>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tables!PivotTable6</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 #</a:t>
            </a:r>
            <a:r>
              <a:rPr lang="en-US" cap="none" baseline="0"/>
              <a:t>of Employees by Assets Returned</a:t>
            </a:r>
            <a:r>
              <a:rPr lang="en-US" baseline="0"/>
              <a:t> </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312000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7.6840870393256409E-3"/>
              <c:y val="2.777776562652412E-2"/>
            </c:manualLayout>
          </c:layout>
          <c:spPr>
            <a:noFill/>
            <a:ln>
              <a:noFill/>
            </a:ln>
            <a:effectLst/>
          </c:spPr>
          <c:txPr>
            <a:bodyPr rot="-312000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1958488450349645"/>
                  <c:h val="0.23432535681305477"/>
                </c:manualLayout>
              </c15:layout>
            </c:ext>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tables'!$I$11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EDE-4698-8D3C-675A3BA49FA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EDE-4698-8D3C-675A3BA49FA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EDE-4698-8D3C-675A3BA49FAC}"/>
              </c:ext>
            </c:extLst>
          </c:dPt>
          <c:dLbls>
            <c:dLbl>
              <c:idx val="1"/>
              <c:layout>
                <c:manualLayout>
                  <c:x val="-7.6840870393256409E-3"/>
                  <c:y val="2.777776562652412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1958488450349645"/>
                      <c:h val="0.23432535681305477"/>
                    </c:manualLayout>
                  </c15:layout>
                </c:ext>
                <c:ext xmlns:c16="http://schemas.microsoft.com/office/drawing/2014/chart" uri="{C3380CC4-5D6E-409C-BE32-E72D297353CC}">
                  <c16:uniqueId val="{00000003-AEDE-4698-8D3C-675A3BA49FAC}"/>
                </c:ext>
              </c:extLst>
            </c:dLbl>
            <c:spPr>
              <a:noFill/>
              <a:ln>
                <a:noFill/>
              </a:ln>
              <a:effectLst/>
            </c:spPr>
            <c:txPr>
              <a:bodyPr rot="-312000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tables'!$H$12:$H$15</c:f>
              <c:strCache>
                <c:ptCount val="3"/>
                <c:pt idx="0">
                  <c:v>No</c:v>
                </c:pt>
                <c:pt idx="1">
                  <c:v>Not Applicable</c:v>
                </c:pt>
                <c:pt idx="2">
                  <c:v>Yes</c:v>
                </c:pt>
              </c:strCache>
            </c:strRef>
          </c:cat>
          <c:val>
            <c:numRef>
              <c:f>'pivot tables'!$I$12:$I$15</c:f>
              <c:numCache>
                <c:formatCode>General</c:formatCode>
                <c:ptCount val="3"/>
                <c:pt idx="0">
                  <c:v>4</c:v>
                </c:pt>
                <c:pt idx="1">
                  <c:v>7</c:v>
                </c:pt>
                <c:pt idx="2">
                  <c:v>9</c:v>
                </c:pt>
              </c:numCache>
            </c:numRef>
          </c:val>
          <c:extLst>
            <c:ext xmlns:c16="http://schemas.microsoft.com/office/drawing/2014/chart" uri="{C3380CC4-5D6E-409C-BE32-E72D297353CC}">
              <c16:uniqueId val="{00000006-AEDE-4698-8D3C-675A3BA49FAC}"/>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tables!PivotTable4</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t>
            </a:r>
            <a:r>
              <a:rPr lang="en-US" baseline="0"/>
              <a:t> of Employees by Designation</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tables'!$D$12:$D$24</c:f>
              <c:strCache>
                <c:ptCount val="12"/>
                <c:pt idx="0">
                  <c:v>Accountant</c:v>
                </c:pt>
                <c:pt idx="1">
                  <c:v>Developer</c:v>
                </c:pt>
                <c:pt idx="2">
                  <c:v>Finance Manager</c:v>
                </c:pt>
                <c:pt idx="3">
                  <c:v>HR Analyst</c:v>
                </c:pt>
                <c:pt idx="4">
                  <c:v>HR Manager</c:v>
                </c:pt>
                <c:pt idx="5">
                  <c:v>IT Manager</c:v>
                </c:pt>
                <c:pt idx="6">
                  <c:v>Junior HR Analyst</c:v>
                </c:pt>
                <c:pt idx="7">
                  <c:v>Marketing Analyst</c:v>
                </c:pt>
                <c:pt idx="8">
                  <c:v>Marketing Head</c:v>
                </c:pt>
                <c:pt idx="9">
                  <c:v>Marketing Manager</c:v>
                </c:pt>
                <c:pt idx="10">
                  <c:v>Sales Executive</c:v>
                </c:pt>
                <c:pt idx="11">
                  <c:v>Sales Manager</c:v>
                </c:pt>
              </c:strCache>
            </c:strRef>
          </c:cat>
          <c:val>
            <c:numRef>
              <c:f>'pivot tables'!$E$12:$E$24</c:f>
              <c:numCache>
                <c:formatCode>General</c:formatCode>
                <c:ptCount val="12"/>
                <c:pt idx="0">
                  <c:v>2</c:v>
                </c:pt>
                <c:pt idx="1">
                  <c:v>4</c:v>
                </c:pt>
                <c:pt idx="2">
                  <c:v>1</c:v>
                </c:pt>
                <c:pt idx="3">
                  <c:v>2</c:v>
                </c:pt>
                <c:pt idx="4">
                  <c:v>1</c:v>
                </c:pt>
                <c:pt idx="5">
                  <c:v>1</c:v>
                </c:pt>
                <c:pt idx="6">
                  <c:v>1</c:v>
                </c:pt>
                <c:pt idx="7">
                  <c:v>2</c:v>
                </c:pt>
                <c:pt idx="8">
                  <c:v>1</c:v>
                </c:pt>
                <c:pt idx="9">
                  <c:v>1</c:v>
                </c:pt>
                <c:pt idx="10">
                  <c:v>3</c:v>
                </c:pt>
                <c:pt idx="11">
                  <c:v>1</c:v>
                </c:pt>
              </c:numCache>
            </c:numRef>
          </c:val>
          <c:extLst>
            <c:ext xmlns:c16="http://schemas.microsoft.com/office/drawing/2014/chart" uri="{C3380CC4-5D6E-409C-BE32-E72D297353CC}">
              <c16:uniqueId val="{00000000-B654-4810-9B81-79D12E8A1C9C}"/>
            </c:ext>
          </c:extLst>
        </c:ser>
        <c:dLbls>
          <c:dLblPos val="outEnd"/>
          <c:showLegendKey val="0"/>
          <c:showVal val="1"/>
          <c:showCatName val="0"/>
          <c:showSerName val="0"/>
          <c:showPercent val="0"/>
          <c:showBubbleSize val="0"/>
        </c:dLbls>
        <c:gapWidth val="115"/>
        <c:overlap val="-20"/>
        <c:axId val="127917663"/>
        <c:axId val="210233647"/>
      </c:barChart>
      <c:catAx>
        <c:axId val="127917663"/>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33647"/>
        <c:crosses val="autoZero"/>
        <c:auto val="1"/>
        <c:lblAlgn val="ctr"/>
        <c:lblOffset val="100"/>
        <c:noMultiLvlLbl val="0"/>
      </c:catAx>
      <c:valAx>
        <c:axId val="210233647"/>
        <c:scaling>
          <c:orientation val="minMax"/>
        </c:scaling>
        <c:delete val="1"/>
        <c:axPos val="b"/>
        <c:numFmt formatCode="General" sourceLinked="1"/>
        <c:majorTickMark val="out"/>
        <c:minorTickMark val="none"/>
        <c:tickLblPos val="nextTo"/>
        <c:crossAx val="127917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tables!PivotTable3</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of Employees by Clearance Status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tables'!$E$4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tables'!$D$5:$D$8</c:f>
              <c:strCache>
                <c:ptCount val="3"/>
                <c:pt idx="0">
                  <c:v>Completed</c:v>
                </c:pt>
                <c:pt idx="1">
                  <c:v>Not Applicable</c:v>
                </c:pt>
                <c:pt idx="2">
                  <c:v>Pending</c:v>
                </c:pt>
              </c:strCache>
            </c:strRef>
          </c:cat>
          <c:val>
            <c:numRef>
              <c:f>'pivot tables'!$E$5:$E$8</c:f>
              <c:numCache>
                <c:formatCode>General</c:formatCode>
                <c:ptCount val="3"/>
                <c:pt idx="0">
                  <c:v>8</c:v>
                </c:pt>
                <c:pt idx="1">
                  <c:v>7</c:v>
                </c:pt>
                <c:pt idx="2">
                  <c:v>5</c:v>
                </c:pt>
              </c:numCache>
            </c:numRef>
          </c:val>
          <c:extLst>
            <c:ext xmlns:c16="http://schemas.microsoft.com/office/drawing/2014/chart" uri="{C3380CC4-5D6E-409C-BE32-E72D297353CC}">
              <c16:uniqueId val="{00000000-DCB9-4B38-8406-7FD0CF723760}"/>
            </c:ext>
          </c:extLst>
        </c:ser>
        <c:dLbls>
          <c:showLegendKey val="0"/>
          <c:showVal val="0"/>
          <c:showCatName val="0"/>
          <c:showSerName val="0"/>
          <c:showPercent val="0"/>
          <c:showBubbleSize val="0"/>
        </c:dLbls>
        <c:gapWidth val="150"/>
        <c:shape val="box"/>
        <c:axId val="725174592"/>
        <c:axId val="694823344"/>
        <c:axId val="0"/>
      </c:bar3DChart>
      <c:catAx>
        <c:axId val="7251745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823344"/>
        <c:crosses val="autoZero"/>
        <c:auto val="1"/>
        <c:lblAlgn val="ctr"/>
        <c:lblOffset val="100"/>
        <c:noMultiLvlLbl val="0"/>
      </c:catAx>
      <c:valAx>
        <c:axId val="694823344"/>
        <c:scaling>
          <c:orientation val="minMax"/>
        </c:scaling>
        <c:delete val="1"/>
        <c:axPos val="l"/>
        <c:numFmt formatCode="General" sourceLinked="1"/>
        <c:majorTickMark val="none"/>
        <c:minorTickMark val="none"/>
        <c:tickLblPos val="nextTo"/>
        <c:crossAx val="725174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tables!PivotTable7</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r>
              <a:rPr lang="en-US" sz="1800" b="1" i="0" baseline="0">
                <a:effectLst/>
              </a:rPr>
              <a:t># of Employees by Exit Interview</a:t>
            </a:r>
            <a:endParaRPr lang="en-IN">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tables'!$I$19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tables'!$H$20:$H$23</c:f>
              <c:strCache>
                <c:ptCount val="3"/>
                <c:pt idx="0">
                  <c:v>No</c:v>
                </c:pt>
                <c:pt idx="1">
                  <c:v>Not Applicable</c:v>
                </c:pt>
                <c:pt idx="2">
                  <c:v>Yes</c:v>
                </c:pt>
              </c:strCache>
            </c:strRef>
          </c:cat>
          <c:val>
            <c:numRef>
              <c:f>'pivot tables'!$I$20:$I$23</c:f>
              <c:numCache>
                <c:formatCode>General</c:formatCode>
                <c:ptCount val="3"/>
                <c:pt idx="0">
                  <c:v>4</c:v>
                </c:pt>
                <c:pt idx="1">
                  <c:v>7</c:v>
                </c:pt>
                <c:pt idx="2">
                  <c:v>9</c:v>
                </c:pt>
              </c:numCache>
            </c:numRef>
          </c:val>
          <c:extLst>
            <c:ext xmlns:c16="http://schemas.microsoft.com/office/drawing/2014/chart" uri="{C3380CC4-5D6E-409C-BE32-E72D297353CC}">
              <c16:uniqueId val="{00000000-566F-4654-87B3-1D51F84604E7}"/>
            </c:ext>
          </c:extLst>
        </c:ser>
        <c:dLbls>
          <c:showLegendKey val="0"/>
          <c:showVal val="0"/>
          <c:showCatName val="0"/>
          <c:showSerName val="0"/>
          <c:showPercent val="0"/>
          <c:showBubbleSize val="0"/>
        </c:dLbls>
        <c:gapWidth val="150"/>
        <c:shape val="box"/>
        <c:axId val="483889279"/>
        <c:axId val="423224255"/>
        <c:axId val="0"/>
      </c:bar3DChart>
      <c:catAx>
        <c:axId val="4838892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224255"/>
        <c:crosses val="autoZero"/>
        <c:auto val="1"/>
        <c:lblAlgn val="ctr"/>
        <c:lblOffset val="100"/>
        <c:noMultiLvlLbl val="0"/>
      </c:catAx>
      <c:valAx>
        <c:axId val="423224255"/>
        <c:scaling>
          <c:orientation val="minMax"/>
        </c:scaling>
        <c:delete val="1"/>
        <c:axPos val="l"/>
        <c:numFmt formatCode="General" sourceLinked="1"/>
        <c:majorTickMark val="none"/>
        <c:minorTickMark val="none"/>
        <c:tickLblPos val="nextTo"/>
        <c:crossAx val="48388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tables!PivotTable8</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of Employees by Final Settlement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tables'!$I$27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tables'!$H$28:$H$31</c:f>
              <c:strCache>
                <c:ptCount val="3"/>
                <c:pt idx="0">
                  <c:v>No</c:v>
                </c:pt>
                <c:pt idx="1">
                  <c:v>Not Applicable</c:v>
                </c:pt>
                <c:pt idx="2">
                  <c:v>Yes</c:v>
                </c:pt>
              </c:strCache>
            </c:strRef>
          </c:cat>
          <c:val>
            <c:numRef>
              <c:f>'pivot tables'!$I$28:$I$31</c:f>
              <c:numCache>
                <c:formatCode>General</c:formatCode>
                <c:ptCount val="3"/>
                <c:pt idx="0">
                  <c:v>5</c:v>
                </c:pt>
                <c:pt idx="1">
                  <c:v>7</c:v>
                </c:pt>
                <c:pt idx="2">
                  <c:v>8</c:v>
                </c:pt>
              </c:numCache>
            </c:numRef>
          </c:val>
          <c:extLst>
            <c:ext xmlns:c16="http://schemas.microsoft.com/office/drawing/2014/chart" uri="{C3380CC4-5D6E-409C-BE32-E72D297353CC}">
              <c16:uniqueId val="{00000000-9893-4FF8-BEBB-23A3806F40B9}"/>
            </c:ext>
          </c:extLst>
        </c:ser>
        <c:dLbls>
          <c:showLegendKey val="0"/>
          <c:showVal val="0"/>
          <c:showCatName val="0"/>
          <c:showSerName val="0"/>
          <c:showPercent val="0"/>
          <c:showBubbleSize val="0"/>
        </c:dLbls>
        <c:gapWidth val="150"/>
        <c:shape val="box"/>
        <c:axId val="621438127"/>
        <c:axId val="614718879"/>
        <c:axId val="0"/>
      </c:bar3DChart>
      <c:catAx>
        <c:axId val="6214381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718879"/>
        <c:crosses val="autoZero"/>
        <c:auto val="1"/>
        <c:lblAlgn val="ctr"/>
        <c:lblOffset val="100"/>
        <c:noMultiLvlLbl val="0"/>
      </c:catAx>
      <c:valAx>
        <c:axId val="614718879"/>
        <c:scaling>
          <c:orientation val="minMax"/>
        </c:scaling>
        <c:delete val="1"/>
        <c:axPos val="l"/>
        <c:numFmt formatCode="General" sourceLinked="1"/>
        <c:majorTickMark val="none"/>
        <c:minorTickMark val="none"/>
        <c:tickLblPos val="nextTo"/>
        <c:crossAx val="621438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[updated.xlsm]pivot tables!PivotTable9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tables'!$O$11</c:f>
              <c:strCache>
                <c:ptCount val="1"/>
                <c:pt idx="0">
                  <c:v>Total</c:v>
                </c:pt>
              </c:strCache>
            </c:strRef>
          </c:tx>
          <c:spPr>
            <a:solidFill>
              <a:schemeClr val="accent1"/>
            </a:solidFill>
            <a:ln>
              <a:noFill/>
            </a:ln>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tables'!$N$12:$N$18</c:f>
              <c:strCache>
                <c:ptCount val="6"/>
                <c:pt idx="0">
                  <c:v>Nikith Aanchan</c:v>
                </c:pt>
                <c:pt idx="1">
                  <c:v>Not Applicable</c:v>
                </c:pt>
                <c:pt idx="2">
                  <c:v>Sudhanshu Pandey</c:v>
                </c:pt>
                <c:pt idx="3">
                  <c:v>Surya Mudaliar</c:v>
                </c:pt>
                <c:pt idx="4">
                  <c:v>Tanmay Kulia</c:v>
                </c:pt>
                <c:pt idx="5">
                  <c:v>Tushar Massey</c:v>
                </c:pt>
              </c:strCache>
            </c:strRef>
          </c:cat>
          <c:val>
            <c:numRef>
              <c:f>'pivot tables'!$O$12:$O$18</c:f>
              <c:numCache>
                <c:formatCode>General</c:formatCode>
                <c:ptCount val="6"/>
                <c:pt idx="0">
                  <c:v>3</c:v>
                </c:pt>
                <c:pt idx="1">
                  <c:v>5</c:v>
                </c:pt>
                <c:pt idx="2">
                  <c:v>3</c:v>
                </c:pt>
                <c:pt idx="3">
                  <c:v>4</c:v>
                </c:pt>
                <c:pt idx="4">
                  <c:v>2</c:v>
                </c:pt>
                <c:pt idx="5">
                  <c:v>3</c:v>
                </c:pt>
              </c:numCache>
            </c:numRef>
          </c:val>
          <c:extLst>
            <c:ext xmlns:c16="http://schemas.microsoft.com/office/drawing/2014/chart" uri="{C3380CC4-5D6E-409C-BE32-E72D297353CC}">
              <c16:uniqueId val="{00000000-D829-4D88-ADAF-0489F5754B17}"/>
            </c:ext>
          </c:extLst>
        </c:ser>
        <c:dLbls>
          <c:showLegendKey val="0"/>
          <c:showVal val="0"/>
          <c:showCatName val="0"/>
          <c:showSerName val="0"/>
          <c:showPercent val="0"/>
          <c:showBubbleSize val="0"/>
        </c:dLbls>
        <c:gapWidth val="150"/>
        <c:shape val="box"/>
        <c:axId val="618407215"/>
        <c:axId val="614726783"/>
        <c:axId val="0"/>
      </c:bar3DChart>
      <c:catAx>
        <c:axId val="6184072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726783"/>
        <c:crosses val="autoZero"/>
        <c:auto val="1"/>
        <c:lblAlgn val="ctr"/>
        <c:lblOffset val="100"/>
        <c:noMultiLvlLbl val="0"/>
      </c:catAx>
      <c:valAx>
        <c:axId val="614726783"/>
        <c:scaling>
          <c:orientation val="minMax"/>
        </c:scaling>
        <c:delete val="1"/>
        <c:axPos val="l"/>
        <c:numFmt formatCode="General" sourceLinked="1"/>
        <c:majorTickMark val="none"/>
        <c:minorTickMark val="none"/>
        <c:tickLblPos val="nextTo"/>
        <c:crossAx val="61840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600075</xdr:colOff>
      <xdr:row>1</xdr:row>
      <xdr:rowOff>9525</xdr:rowOff>
    </xdr:from>
    <xdr:to>
      <xdr:col>26</xdr:col>
      <xdr:colOff>200025</xdr:colOff>
      <xdr:row>3</xdr:row>
      <xdr:rowOff>180975</xdr:rowOff>
    </xdr:to>
    <xdr:sp macro="" textlink="">
      <xdr:nvSpPr>
        <xdr:cNvPr id="2" name="Rectangle 1">
          <a:extLst>
            <a:ext uri="{FF2B5EF4-FFF2-40B4-BE49-F238E27FC236}">
              <a16:creationId xmlns:a16="http://schemas.microsoft.com/office/drawing/2014/main" id="{B01E1D67-F197-4DD2-BDD2-771A2B9D2BCA}"/>
            </a:ext>
          </a:extLst>
        </xdr:cNvPr>
        <xdr:cNvSpPr/>
      </xdr:nvSpPr>
      <xdr:spPr>
        <a:xfrm>
          <a:off x="1819275" y="200025"/>
          <a:ext cx="14230350" cy="552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latin typeface="Times New Roman" panose="02020603050405020304" pitchFamily="18" charset="0"/>
              <a:cs typeface="Times New Roman" panose="02020603050405020304" pitchFamily="18" charset="0"/>
            </a:rPr>
            <a:t>Interactive Employee Offboarding &amp; Workforce Analytics Dashboard</a:t>
          </a:r>
          <a:endParaRPr lang="en-IN" sz="1100"/>
        </a:p>
      </xdr:txBody>
    </xdr:sp>
    <xdr:clientData/>
  </xdr:twoCellAnchor>
  <xdr:twoCellAnchor>
    <xdr:from>
      <xdr:col>2</xdr:col>
      <xdr:colOff>600075</xdr:colOff>
      <xdr:row>5</xdr:row>
      <xdr:rowOff>9525</xdr:rowOff>
    </xdr:from>
    <xdr:to>
      <xdr:col>26</xdr:col>
      <xdr:colOff>361950</xdr:colOff>
      <xdr:row>28</xdr:row>
      <xdr:rowOff>57150</xdr:rowOff>
    </xdr:to>
    <xdr:sp macro="" textlink="">
      <xdr:nvSpPr>
        <xdr:cNvPr id="3" name="Rectangle 2">
          <a:extLst>
            <a:ext uri="{FF2B5EF4-FFF2-40B4-BE49-F238E27FC236}">
              <a16:creationId xmlns:a16="http://schemas.microsoft.com/office/drawing/2014/main" id="{E57A34B8-6D2E-46F4-852C-2D42CDA9975D}"/>
            </a:ext>
          </a:extLst>
        </xdr:cNvPr>
        <xdr:cNvSpPr/>
      </xdr:nvSpPr>
      <xdr:spPr>
        <a:xfrm>
          <a:off x="1819275" y="962025"/>
          <a:ext cx="14392275" cy="4429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This project involved the development of a dynamic dashboard in Microsoft Excel to transform raw HR data into actionable business intelligence.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Objective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The primary goal was to create a centralized, user-friendly tool for HR stakeholders to monitor the employee offboarding process, track key metrics, and analyze workforce composition without needing to manually interpret raw data. The dashboard provides a high-level, at-a-glance view of attrition and process efficiency.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Key Features &amp; Technologies Used</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Dynamic Data Aggregation:</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Utilized </a:t>
          </a: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PivotTables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as the core analytical engine to summarize employee data across multiple dimensions like department, designation, and manager.</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Interactive Visualizations: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Developed a suite of </a:t>
          </a: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PivotCharts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(bar, pie, and donut) to represent complex data in an intuitive visual format.</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User-Driven Filtering:</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Implemented </a:t>
          </a: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Slicers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linked to all visuals, allowing users to interactively filter the entire dashboard in real-time and drill down into specific data segments.</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Centralized Reporting:</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Designed a single-screen </a:t>
          </a: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dashboard</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that consolidates all key performance indicators (KPIs) for quick analysis and strategic decision-making.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Outcome &amp; Impact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The final dashboard is a powerful analytical tool that successfully converts a static spreadsheet into an interactive report. It empowers HR teams to:</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Quickly identify trends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in employee attrition by department or designation.</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Monitor the efficiency</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of the offboarding process by tracking clearance and final settlement statuses.</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Enable self-service analytics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for managers, reducing reliance on manual data pulls and reports.</a:t>
          </a:r>
        </a:p>
        <a:p>
          <a:pPr marL="0" marR="0" lvl="0" indent="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600" b="1"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Make data-driven decisions</a:t>
          </a:r>
          <a:r>
            <a:rPr kumimoji="0" lang="en-IN" sz="16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 to improve HR processes and employee retention strategies.</a:t>
          </a:r>
        </a:p>
        <a:p>
          <a:pPr algn="l"/>
          <a:endParaRPr lang="en-IN" sz="105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15</xdr:row>
      <xdr:rowOff>57149</xdr:rowOff>
    </xdr:from>
    <xdr:to>
      <xdr:col>12</xdr:col>
      <xdr:colOff>19050</xdr:colOff>
      <xdr:row>27</xdr:row>
      <xdr:rowOff>28574</xdr:rowOff>
    </xdr:to>
    <xdr:graphicFrame macro="">
      <xdr:nvGraphicFramePr>
        <xdr:cNvPr id="2" name="Chart 1">
          <a:extLst>
            <a:ext uri="{FF2B5EF4-FFF2-40B4-BE49-F238E27FC236}">
              <a16:creationId xmlns:a16="http://schemas.microsoft.com/office/drawing/2014/main" id="{224EB116-8A71-4C63-BBFF-905EF343FF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2</xdr:row>
      <xdr:rowOff>180975</xdr:rowOff>
    </xdr:from>
    <xdr:to>
      <xdr:col>12</xdr:col>
      <xdr:colOff>9525</xdr:colOff>
      <xdr:row>14</xdr:row>
      <xdr:rowOff>180976</xdr:rowOff>
    </xdr:to>
    <xdr:graphicFrame macro="">
      <xdr:nvGraphicFramePr>
        <xdr:cNvPr id="3" name="Chart 2">
          <a:extLst>
            <a:ext uri="{FF2B5EF4-FFF2-40B4-BE49-F238E27FC236}">
              <a16:creationId xmlns:a16="http://schemas.microsoft.com/office/drawing/2014/main" id="{684284EF-CCAE-4289-9048-3A08BB0B8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76200</xdr:colOff>
      <xdr:row>2</xdr:row>
      <xdr:rowOff>180975</xdr:rowOff>
    </xdr:from>
    <xdr:to>
      <xdr:col>18</xdr:col>
      <xdr:colOff>400050</xdr:colOff>
      <xdr:row>14</xdr:row>
      <xdr:rowOff>171450</xdr:rowOff>
    </xdr:to>
    <xdr:graphicFrame macro="">
      <xdr:nvGraphicFramePr>
        <xdr:cNvPr id="4" name="Chart 3">
          <a:extLst>
            <a:ext uri="{FF2B5EF4-FFF2-40B4-BE49-F238E27FC236}">
              <a16:creationId xmlns:a16="http://schemas.microsoft.com/office/drawing/2014/main" id="{6CB3FAA1-05EA-43E5-B776-3A47B8DAD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85725</xdr:colOff>
      <xdr:row>15</xdr:row>
      <xdr:rowOff>57150</xdr:rowOff>
    </xdr:from>
    <xdr:to>
      <xdr:col>18</xdr:col>
      <xdr:colOff>409575</xdr:colOff>
      <xdr:row>27</xdr:row>
      <xdr:rowOff>19050</xdr:rowOff>
    </xdr:to>
    <xdr:graphicFrame macro="">
      <xdr:nvGraphicFramePr>
        <xdr:cNvPr id="6" name="Chart 5">
          <a:extLst>
            <a:ext uri="{FF2B5EF4-FFF2-40B4-BE49-F238E27FC236}">
              <a16:creationId xmlns:a16="http://schemas.microsoft.com/office/drawing/2014/main" id="{7E875FC4-0AD6-406C-B84D-0778D2BB3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476250</xdr:colOff>
      <xdr:row>2</xdr:row>
      <xdr:rowOff>180975</xdr:rowOff>
    </xdr:from>
    <xdr:to>
      <xdr:col>25</xdr:col>
      <xdr:colOff>209550</xdr:colOff>
      <xdr:row>14</xdr:row>
      <xdr:rowOff>171450</xdr:rowOff>
    </xdr:to>
    <xdr:graphicFrame macro="">
      <xdr:nvGraphicFramePr>
        <xdr:cNvPr id="7" name="Chart 6">
          <a:extLst>
            <a:ext uri="{FF2B5EF4-FFF2-40B4-BE49-F238E27FC236}">
              <a16:creationId xmlns:a16="http://schemas.microsoft.com/office/drawing/2014/main" id="{557066EA-D70C-4C19-933A-9B2242664D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476250</xdr:colOff>
      <xdr:row>15</xdr:row>
      <xdr:rowOff>57150</xdr:rowOff>
    </xdr:from>
    <xdr:to>
      <xdr:col>25</xdr:col>
      <xdr:colOff>209550</xdr:colOff>
      <xdr:row>27</xdr:row>
      <xdr:rowOff>9525</xdr:rowOff>
    </xdr:to>
    <xdr:graphicFrame macro="">
      <xdr:nvGraphicFramePr>
        <xdr:cNvPr id="8" name="Chart 7">
          <a:extLst>
            <a:ext uri="{FF2B5EF4-FFF2-40B4-BE49-F238E27FC236}">
              <a16:creationId xmlns:a16="http://schemas.microsoft.com/office/drawing/2014/main" id="{C0FE869F-FEA9-4A14-A1DB-B38812EBDE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609599</xdr:colOff>
      <xdr:row>27</xdr:row>
      <xdr:rowOff>95250</xdr:rowOff>
    </xdr:from>
    <xdr:to>
      <xdr:col>25</xdr:col>
      <xdr:colOff>238124</xdr:colOff>
      <xdr:row>41</xdr:row>
      <xdr:rowOff>171450</xdr:rowOff>
    </xdr:to>
    <xdr:graphicFrame macro="">
      <xdr:nvGraphicFramePr>
        <xdr:cNvPr id="9" name="Chart 8">
          <a:extLst>
            <a:ext uri="{FF2B5EF4-FFF2-40B4-BE49-F238E27FC236}">
              <a16:creationId xmlns:a16="http://schemas.microsoft.com/office/drawing/2014/main" id="{5332CBC9-87BF-4E65-9A50-E2C893DF2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26</xdr:row>
      <xdr:rowOff>28576</xdr:rowOff>
    </xdr:from>
    <xdr:to>
      <xdr:col>5</xdr:col>
      <xdr:colOff>552450</xdr:colOff>
      <xdr:row>30</xdr:row>
      <xdr:rowOff>161926</xdr:rowOff>
    </xdr:to>
    <mc:AlternateContent xmlns:mc="http://schemas.openxmlformats.org/markup-compatibility/2006" xmlns:a14="http://schemas.microsoft.com/office/drawing/2010/main">
      <mc:Choice Requires="a14">
        <xdr:graphicFrame macro="">
          <xdr:nvGraphicFramePr>
            <xdr:cNvPr id="10" name="assets_return">
              <a:extLst>
                <a:ext uri="{FF2B5EF4-FFF2-40B4-BE49-F238E27FC236}">
                  <a16:creationId xmlns:a16="http://schemas.microsoft.com/office/drawing/2014/main" id="{26B2937A-D7E0-48C4-B2EF-F9EB1C7FD63D}"/>
                </a:ext>
              </a:extLst>
            </xdr:cNvPr>
            <xdr:cNvGraphicFramePr/>
          </xdr:nvGraphicFramePr>
          <xdr:xfrm>
            <a:off x="0" y="0"/>
            <a:ext cx="0" cy="0"/>
          </xdr:xfrm>
          <a:graphic>
            <a:graphicData uri="http://schemas.microsoft.com/office/drawing/2010/slicer">
              <sle:slicer xmlns:sle="http://schemas.microsoft.com/office/drawing/2010/slicer" name="assets_return"/>
            </a:graphicData>
          </a:graphic>
        </xdr:graphicFrame>
      </mc:Choice>
      <mc:Fallback xmlns="">
        <xdr:sp macro="" textlink="">
          <xdr:nvSpPr>
            <xdr:cNvPr id="0" name=""/>
            <xdr:cNvSpPr>
              <a:spLocks noTextEdit="1"/>
            </xdr:cNvSpPr>
          </xdr:nvSpPr>
          <xdr:spPr>
            <a:xfrm>
              <a:off x="95250" y="4981576"/>
              <a:ext cx="3505200"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xdr:row>
      <xdr:rowOff>180975</xdr:rowOff>
    </xdr:from>
    <xdr:to>
      <xdr:col>5</xdr:col>
      <xdr:colOff>542925</xdr:colOff>
      <xdr:row>9</xdr:row>
      <xdr:rowOff>38100</xdr:rowOff>
    </xdr:to>
    <mc:AlternateContent xmlns:mc="http://schemas.openxmlformats.org/markup-compatibility/2006" xmlns:a14="http://schemas.microsoft.com/office/drawing/2010/main">
      <mc:Choice Requires="a14">
        <xdr:graphicFrame macro="">
          <xdr:nvGraphicFramePr>
            <xdr:cNvPr id="11" name="department">
              <a:extLst>
                <a:ext uri="{FF2B5EF4-FFF2-40B4-BE49-F238E27FC236}">
                  <a16:creationId xmlns:a16="http://schemas.microsoft.com/office/drawing/2014/main" id="{668E5956-8F3E-4459-AC17-100FDC2C248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5725" y="561975"/>
              <a:ext cx="3505200" cy="1190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95249</xdr:colOff>
      <xdr:row>9</xdr:row>
      <xdr:rowOff>114300</xdr:rowOff>
    </xdr:from>
    <xdr:to>
      <xdr:col>5</xdr:col>
      <xdr:colOff>542925</xdr:colOff>
      <xdr:row>20</xdr:row>
      <xdr:rowOff>28575</xdr:rowOff>
    </xdr:to>
    <mc:AlternateContent xmlns:mc="http://schemas.openxmlformats.org/markup-compatibility/2006" xmlns:a14="http://schemas.microsoft.com/office/drawing/2010/main">
      <mc:Choice Requires="a14">
        <xdr:graphicFrame macro="">
          <xdr:nvGraphicFramePr>
            <xdr:cNvPr id="12" name="designation">
              <a:extLst>
                <a:ext uri="{FF2B5EF4-FFF2-40B4-BE49-F238E27FC236}">
                  <a16:creationId xmlns:a16="http://schemas.microsoft.com/office/drawing/2014/main" id="{67578882-9736-4BEF-8DEB-38FA235DE200}"/>
                </a:ext>
              </a:extLst>
            </xdr:cNvPr>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95249" y="1828800"/>
              <a:ext cx="3495676" cy="2009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95249</xdr:colOff>
      <xdr:row>20</xdr:row>
      <xdr:rowOff>133351</xdr:rowOff>
    </xdr:from>
    <xdr:to>
      <xdr:col>5</xdr:col>
      <xdr:colOff>523874</xdr:colOff>
      <xdr:row>25</xdr:row>
      <xdr:rowOff>114301</xdr:rowOff>
    </xdr:to>
    <mc:AlternateContent xmlns:mc="http://schemas.openxmlformats.org/markup-compatibility/2006" xmlns:a14="http://schemas.microsoft.com/office/drawing/2010/main">
      <mc:Choice Requires="a14">
        <xdr:graphicFrame macro="">
          <xdr:nvGraphicFramePr>
            <xdr:cNvPr id="14" name="exit_interview">
              <a:extLst>
                <a:ext uri="{FF2B5EF4-FFF2-40B4-BE49-F238E27FC236}">
                  <a16:creationId xmlns:a16="http://schemas.microsoft.com/office/drawing/2014/main" id="{22C525A7-DA69-43A8-9189-3A84F9CED9DE}"/>
                </a:ext>
              </a:extLst>
            </xdr:cNvPr>
            <xdr:cNvGraphicFramePr/>
          </xdr:nvGraphicFramePr>
          <xdr:xfrm>
            <a:off x="0" y="0"/>
            <a:ext cx="0" cy="0"/>
          </xdr:xfrm>
          <a:graphic>
            <a:graphicData uri="http://schemas.microsoft.com/office/drawing/2010/slicer">
              <sle:slicer xmlns:sle="http://schemas.microsoft.com/office/drawing/2010/slicer" name="exit_interview"/>
            </a:graphicData>
          </a:graphic>
        </xdr:graphicFrame>
      </mc:Choice>
      <mc:Fallback xmlns="">
        <xdr:sp macro="" textlink="">
          <xdr:nvSpPr>
            <xdr:cNvPr id="0" name=""/>
            <xdr:cNvSpPr>
              <a:spLocks noTextEdit="1"/>
            </xdr:cNvSpPr>
          </xdr:nvSpPr>
          <xdr:spPr>
            <a:xfrm>
              <a:off x="95249" y="3943351"/>
              <a:ext cx="3476625" cy="93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85724</xdr:colOff>
      <xdr:row>31</xdr:row>
      <xdr:rowOff>66676</xdr:rowOff>
    </xdr:from>
    <xdr:to>
      <xdr:col>5</xdr:col>
      <xdr:colOff>542925</xdr:colOff>
      <xdr:row>36</xdr:row>
      <xdr:rowOff>66676</xdr:rowOff>
    </xdr:to>
    <mc:AlternateContent xmlns:mc="http://schemas.openxmlformats.org/markup-compatibility/2006" xmlns:a14="http://schemas.microsoft.com/office/drawing/2010/main">
      <mc:Choice Requires="a14">
        <xdr:graphicFrame macro="">
          <xdr:nvGraphicFramePr>
            <xdr:cNvPr id="16" name="clearance_status">
              <a:extLst>
                <a:ext uri="{FF2B5EF4-FFF2-40B4-BE49-F238E27FC236}">
                  <a16:creationId xmlns:a16="http://schemas.microsoft.com/office/drawing/2014/main" id="{20F826A0-8BC2-4F8B-A2EB-1F84C9FB7968}"/>
                </a:ext>
              </a:extLst>
            </xdr:cNvPr>
            <xdr:cNvGraphicFramePr/>
          </xdr:nvGraphicFramePr>
          <xdr:xfrm>
            <a:off x="0" y="0"/>
            <a:ext cx="0" cy="0"/>
          </xdr:xfrm>
          <a:graphic>
            <a:graphicData uri="http://schemas.microsoft.com/office/drawing/2010/slicer">
              <sle:slicer xmlns:sle="http://schemas.microsoft.com/office/drawing/2010/slicer" name="clearance_status"/>
            </a:graphicData>
          </a:graphic>
        </xdr:graphicFrame>
      </mc:Choice>
      <mc:Fallback xmlns="">
        <xdr:sp macro="" textlink="">
          <xdr:nvSpPr>
            <xdr:cNvPr id="0" name=""/>
            <xdr:cNvSpPr>
              <a:spLocks noTextEdit="1"/>
            </xdr:cNvSpPr>
          </xdr:nvSpPr>
          <xdr:spPr>
            <a:xfrm>
              <a:off x="85724" y="5972176"/>
              <a:ext cx="3505201"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85724</xdr:colOff>
      <xdr:row>36</xdr:row>
      <xdr:rowOff>152401</xdr:rowOff>
    </xdr:from>
    <xdr:to>
      <xdr:col>5</xdr:col>
      <xdr:colOff>533399</xdr:colOff>
      <xdr:row>41</xdr:row>
      <xdr:rowOff>180975</xdr:rowOff>
    </xdr:to>
    <mc:AlternateContent xmlns:mc="http://schemas.openxmlformats.org/markup-compatibility/2006" xmlns:a14="http://schemas.microsoft.com/office/drawing/2010/main">
      <mc:Choice Requires="a14">
        <xdr:graphicFrame macro="">
          <xdr:nvGraphicFramePr>
            <xdr:cNvPr id="17" name="final_settlement">
              <a:extLst>
                <a:ext uri="{FF2B5EF4-FFF2-40B4-BE49-F238E27FC236}">
                  <a16:creationId xmlns:a16="http://schemas.microsoft.com/office/drawing/2014/main" id="{C199B328-F44C-4CE9-AE87-7FBA79B96D2B}"/>
                </a:ext>
              </a:extLst>
            </xdr:cNvPr>
            <xdr:cNvGraphicFramePr/>
          </xdr:nvGraphicFramePr>
          <xdr:xfrm>
            <a:off x="0" y="0"/>
            <a:ext cx="0" cy="0"/>
          </xdr:xfrm>
          <a:graphic>
            <a:graphicData uri="http://schemas.microsoft.com/office/drawing/2010/slicer">
              <sle:slicer xmlns:sle="http://schemas.microsoft.com/office/drawing/2010/slicer" name="final_settlement"/>
            </a:graphicData>
          </a:graphic>
        </xdr:graphicFrame>
      </mc:Choice>
      <mc:Fallback xmlns="">
        <xdr:sp macro="" textlink="">
          <xdr:nvSpPr>
            <xdr:cNvPr id="0" name=""/>
            <xdr:cNvSpPr>
              <a:spLocks noTextEdit="1"/>
            </xdr:cNvSpPr>
          </xdr:nvSpPr>
          <xdr:spPr>
            <a:xfrm>
              <a:off x="85724" y="7010401"/>
              <a:ext cx="3495675" cy="981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0</xdr:row>
      <xdr:rowOff>76200</xdr:rowOff>
    </xdr:from>
    <xdr:to>
      <xdr:col>25</xdr:col>
      <xdr:colOff>200025</xdr:colOff>
      <xdr:row>2</xdr:row>
      <xdr:rowOff>133350</xdr:rowOff>
    </xdr:to>
    <xdr:sp macro="" textlink="">
      <xdr:nvSpPr>
        <xdr:cNvPr id="18" name="Rectangle 17">
          <a:extLst>
            <a:ext uri="{FF2B5EF4-FFF2-40B4-BE49-F238E27FC236}">
              <a16:creationId xmlns:a16="http://schemas.microsoft.com/office/drawing/2014/main" id="{1F411D9D-0831-4DE3-9AD8-4E85F256450E}"/>
            </a:ext>
          </a:extLst>
        </xdr:cNvPr>
        <xdr:cNvSpPr/>
      </xdr:nvSpPr>
      <xdr:spPr>
        <a:xfrm>
          <a:off x="85725" y="76200"/>
          <a:ext cx="15354300" cy="4381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latin typeface="Arial Black" panose="020B0A04020102020204" pitchFamily="34" charset="0"/>
            </a:rPr>
            <a:t>Employee</a:t>
          </a:r>
          <a:r>
            <a:rPr lang="en-IN" sz="2000" baseline="0">
              <a:latin typeface="Arial Black" panose="020B0A04020102020204" pitchFamily="34" charset="0"/>
            </a:rPr>
            <a:t> Offboarding Tracker</a:t>
          </a:r>
          <a:endParaRPr lang="en-IN" sz="2000">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mitra" refreshedDate="45925.041535416669" createdVersion="6" refreshedVersion="6" minRefreshableVersion="3" recordCount="20" xr:uid="{0030A555-70FA-47ED-B5D9-7522839CBBD4}">
  <cacheSource type="worksheet">
    <worksheetSource name="Table2"/>
  </cacheSource>
  <cacheFields count="12">
    <cacheField name="emp_id" numFmtId="0">
      <sharedItems containsSemiMixedTypes="0" containsString="0" containsNumber="1" containsInteger="1" minValue="500101" maxValue="500220"/>
    </cacheField>
    <cacheField name="emp_name" numFmtId="0">
      <sharedItems/>
    </cacheField>
    <cacheField name="department" numFmtId="0">
      <sharedItems count="5">
        <s v="HR"/>
        <s v="Finance"/>
        <s v="Marketing"/>
        <s v="IT"/>
        <s v="Sales"/>
      </sharedItems>
    </cacheField>
    <cacheField name="designation" numFmtId="0">
      <sharedItems count="12">
        <s v="HR Analyst"/>
        <s v="Accountant"/>
        <s v="Marketing Manager"/>
        <s v="IT Manager"/>
        <s v="Marketing Analyst"/>
        <s v="Sales Executive"/>
        <s v="Developer"/>
        <s v="Marketing Head"/>
        <s v="HR Manager"/>
        <s v="Finance Manager"/>
        <s v="Junior HR Analyst"/>
        <s v="Sales Manager"/>
      </sharedItems>
    </cacheField>
    <cacheField name="DOR" numFmtId="14">
      <sharedItems containsNonDate="0" containsDate="1" containsString="0" containsBlank="1" minDate="2024-01-24T00:00:00" maxDate="2025-09-23T00:00:00"/>
    </cacheField>
    <cacheField name="last_working_day" numFmtId="14">
      <sharedItems containsNonDate="0" containsDate="1" containsString="0" containsBlank="1" minDate="2024-02-24T00:00:00" maxDate="2025-10-23T00:00:00"/>
    </cacheField>
    <cacheField name="manager_name" numFmtId="0">
      <sharedItems count="6">
        <s v="Nikith Aanchan"/>
        <s v="Tanmay Kulia"/>
        <s v="Not Applicable"/>
        <s v="Sudhanshu Pandey"/>
        <s v="Tushar Massey"/>
        <s v="Surya Mudaliar"/>
      </sharedItems>
    </cacheField>
    <cacheField name="exit_interview" numFmtId="0">
      <sharedItems count="3">
        <s v="Not Applicable"/>
        <s v="Yes"/>
        <s v="No"/>
      </sharedItems>
    </cacheField>
    <cacheField name="assets_return" numFmtId="0">
      <sharedItems count="3">
        <s v="Not Applicable"/>
        <s v="Yes"/>
        <s v="No"/>
      </sharedItems>
    </cacheField>
    <cacheField name="clearance_status" numFmtId="0">
      <sharedItems count="3">
        <s v="Not Applicable"/>
        <s v="Completed"/>
        <s v="Pending"/>
      </sharedItems>
    </cacheField>
    <cacheField name="final_settlement" numFmtId="0">
      <sharedItems count="3">
        <s v="Not Applicable"/>
        <s v="Yes"/>
        <s v="No"/>
      </sharedItems>
    </cacheField>
    <cacheField name="remarks" numFmtId="0">
      <sharedItems containsBlank="1"/>
    </cacheField>
  </cacheFields>
  <extLst>
    <ext xmlns:x14="http://schemas.microsoft.com/office/spreadsheetml/2009/9/main" uri="{725AE2AE-9491-48be-B2B4-4EB974FC3084}">
      <x14:pivotCacheDefinition pivotCacheId="1637970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500101"/>
    <s v="Soumitra Bharati"/>
    <x v="0"/>
    <x v="0"/>
    <m/>
    <m/>
    <x v="0"/>
    <x v="0"/>
    <x v="0"/>
    <x v="0"/>
    <x v="0"/>
    <s v="Not Applicable"/>
  </r>
  <r>
    <n v="500102"/>
    <s v="Rupam Sharnagat"/>
    <x v="1"/>
    <x v="1"/>
    <d v="2025-09-02T00:00:00"/>
    <d v="2025-10-02T00:00:00"/>
    <x v="1"/>
    <x v="1"/>
    <x v="1"/>
    <x v="1"/>
    <x v="1"/>
    <s v="all clear"/>
  </r>
  <r>
    <n v="500103"/>
    <s v="Sudhanshu Pandey"/>
    <x v="2"/>
    <x v="2"/>
    <m/>
    <m/>
    <x v="2"/>
    <x v="0"/>
    <x v="0"/>
    <x v="0"/>
    <x v="0"/>
    <m/>
  </r>
  <r>
    <n v="500104"/>
    <s v="Surya Mudaliar"/>
    <x v="3"/>
    <x v="3"/>
    <m/>
    <m/>
    <x v="2"/>
    <x v="0"/>
    <x v="0"/>
    <x v="0"/>
    <x v="0"/>
    <m/>
  </r>
  <r>
    <n v="500105"/>
    <s v="Akash Yadav"/>
    <x v="2"/>
    <x v="4"/>
    <d v="2025-08-16T00:00:00"/>
    <d v="2025-09-16T00:00:00"/>
    <x v="3"/>
    <x v="1"/>
    <x v="1"/>
    <x v="1"/>
    <x v="1"/>
    <s v="all clear"/>
  </r>
  <r>
    <n v="500106"/>
    <s v="Yash Pawar"/>
    <x v="4"/>
    <x v="5"/>
    <d v="2025-08-17T00:00:00"/>
    <d v="2025-09-17T00:00:00"/>
    <x v="4"/>
    <x v="2"/>
    <x v="2"/>
    <x v="2"/>
    <x v="2"/>
    <s v="no exit interview"/>
  </r>
  <r>
    <n v="500107"/>
    <s v="Shubham Kadam"/>
    <x v="0"/>
    <x v="0"/>
    <d v="2025-05-06T00:00:00"/>
    <d v="2025-06-06T00:00:00"/>
    <x v="0"/>
    <x v="2"/>
    <x v="2"/>
    <x v="2"/>
    <x v="2"/>
    <m/>
  </r>
  <r>
    <n v="500108"/>
    <s v="Vedant Gawade"/>
    <x v="3"/>
    <x v="6"/>
    <m/>
    <m/>
    <x v="5"/>
    <x v="0"/>
    <x v="0"/>
    <x v="0"/>
    <x v="0"/>
    <m/>
  </r>
  <r>
    <n v="500109"/>
    <s v="Aryan Sonawane"/>
    <x v="2"/>
    <x v="7"/>
    <d v="2025-05-08T00:00:00"/>
    <d v="2025-06-08T00:00:00"/>
    <x v="3"/>
    <x v="1"/>
    <x v="1"/>
    <x v="1"/>
    <x v="1"/>
    <m/>
  </r>
  <r>
    <n v="500110"/>
    <s v="Nikith Aanchan"/>
    <x v="0"/>
    <x v="8"/>
    <m/>
    <m/>
    <x v="2"/>
    <x v="0"/>
    <x v="0"/>
    <x v="0"/>
    <x v="0"/>
    <m/>
  </r>
  <r>
    <n v="500111"/>
    <s v="Prathamesh Raut"/>
    <x v="4"/>
    <x v="5"/>
    <d v="2024-01-24T00:00:00"/>
    <d v="2024-02-24T00:00:00"/>
    <x v="4"/>
    <x v="2"/>
    <x v="1"/>
    <x v="2"/>
    <x v="2"/>
    <m/>
  </r>
  <r>
    <n v="500112"/>
    <s v="Vatsal Singh"/>
    <x v="3"/>
    <x v="6"/>
    <d v="2024-01-25T00:00:00"/>
    <d v="2024-02-25T00:00:00"/>
    <x v="5"/>
    <x v="1"/>
    <x v="1"/>
    <x v="1"/>
    <x v="1"/>
    <m/>
  </r>
  <r>
    <n v="500113"/>
    <s v="Tanmay Kulia"/>
    <x v="1"/>
    <x v="9"/>
    <m/>
    <m/>
    <x v="2"/>
    <x v="0"/>
    <x v="0"/>
    <x v="0"/>
    <x v="0"/>
    <m/>
  </r>
  <r>
    <n v="500114"/>
    <s v="Prajjwal Dashputre"/>
    <x v="1"/>
    <x v="1"/>
    <d v="2024-04-28T00:00:00"/>
    <d v="2024-05-28T00:00:00"/>
    <x v="1"/>
    <x v="2"/>
    <x v="2"/>
    <x v="2"/>
    <x v="2"/>
    <m/>
  </r>
  <r>
    <n v="500115"/>
    <s v="Vishal Pujari"/>
    <x v="4"/>
    <x v="5"/>
    <d v="2024-04-29T00:00:00"/>
    <d v="2024-05-29T00:00:00"/>
    <x v="4"/>
    <x v="1"/>
    <x v="1"/>
    <x v="1"/>
    <x v="1"/>
    <m/>
  </r>
  <r>
    <n v="500116"/>
    <s v="Deepak Tiwari"/>
    <x v="2"/>
    <x v="4"/>
    <d v="2024-04-30T00:00:00"/>
    <d v="2024-05-30T00:00:00"/>
    <x v="3"/>
    <x v="1"/>
    <x v="2"/>
    <x v="2"/>
    <x v="2"/>
    <m/>
  </r>
  <r>
    <n v="500117"/>
    <s v="Ashutosh Thakur"/>
    <x v="3"/>
    <x v="6"/>
    <d v="2024-05-01T00:00:00"/>
    <d v="2024-06-01T00:00:00"/>
    <x v="5"/>
    <x v="1"/>
    <x v="1"/>
    <x v="1"/>
    <x v="1"/>
    <m/>
  </r>
  <r>
    <n v="500118"/>
    <s v="Nainesh Redkar"/>
    <x v="0"/>
    <x v="10"/>
    <d v="2025-09-20T00:00:00"/>
    <d v="2025-10-20T00:00:00"/>
    <x v="0"/>
    <x v="1"/>
    <x v="1"/>
    <x v="1"/>
    <x v="1"/>
    <m/>
  </r>
  <r>
    <n v="500119"/>
    <s v="Tushar Massey"/>
    <x v="4"/>
    <x v="11"/>
    <m/>
    <m/>
    <x v="2"/>
    <x v="0"/>
    <x v="0"/>
    <x v="0"/>
    <x v="0"/>
    <m/>
  </r>
  <r>
    <n v="500220"/>
    <s v="Aaditya Bhogle"/>
    <x v="3"/>
    <x v="6"/>
    <d v="2025-09-22T00:00:00"/>
    <d v="2025-10-22T00:00:00"/>
    <x v="5"/>
    <x v="1"/>
    <x v="1"/>
    <x v="1"/>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A6B453-17B1-426E-BCCF-D72A6981C189}"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N11:O18" firstHeaderRow="1" firstDataRow="1" firstDataCol="1"/>
  <pivotFields count="12">
    <pivotField dataField="1" showAll="0"/>
    <pivotField showAll="0"/>
    <pivotField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axis="axisRow" showAll="0">
      <items count="7">
        <item x="0"/>
        <item x="2"/>
        <item x="3"/>
        <item x="5"/>
        <item x="1"/>
        <item x="4"/>
        <item t="default"/>
      </items>
    </pivotField>
    <pivotField showAll="0">
      <items count="4">
        <item x="2"/>
        <item x="0"/>
        <item x="1"/>
        <item t="default"/>
      </items>
    </pivotField>
    <pivotField showAll="0">
      <items count="4">
        <item x="2"/>
        <item x="0"/>
        <item x="1"/>
        <item t="default"/>
      </items>
    </pivotField>
    <pivotField showAll="0">
      <items count="4">
        <item x="1"/>
        <item x="0"/>
        <item x="2"/>
        <item t="default"/>
      </items>
    </pivotField>
    <pivotField showAll="0">
      <items count="4">
        <item x="2"/>
        <item x="0"/>
        <item x="1"/>
        <item t="default"/>
      </items>
    </pivotField>
    <pivotField showAll="0"/>
  </pivotFields>
  <rowFields count="1">
    <field x="6"/>
  </rowFields>
  <rowItems count="7">
    <i>
      <x/>
    </i>
    <i>
      <x v="1"/>
    </i>
    <i>
      <x v="2"/>
    </i>
    <i>
      <x v="3"/>
    </i>
    <i>
      <x v="4"/>
    </i>
    <i>
      <x v="5"/>
    </i>
    <i t="grand">
      <x/>
    </i>
  </rowItems>
  <colItems count="1">
    <i/>
  </colItems>
  <dataFields count="1">
    <dataField name="Count of emp_id" fld="0" subtotal="count" baseField="9"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613FE6-8DC7-4355-908E-86947E013418}"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27:I31" firstHeaderRow="1" firstDataRow="1" firstDataCol="1"/>
  <pivotFields count="12">
    <pivotField dataField="1" showAll="0"/>
    <pivotField showAll="0"/>
    <pivotField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showAll="0">
      <items count="4">
        <item x="2"/>
        <item x="0"/>
        <item x="1"/>
        <item t="default"/>
      </items>
    </pivotField>
    <pivotField showAll="0">
      <items count="4">
        <item x="2"/>
        <item x="0"/>
        <item x="1"/>
        <item t="default"/>
      </items>
    </pivotField>
    <pivotField showAll="0">
      <items count="4">
        <item x="1"/>
        <item x="0"/>
        <item x="2"/>
        <item t="default"/>
      </items>
    </pivotField>
    <pivotField axis="axisRow" showAll="0">
      <items count="4">
        <item x="2"/>
        <item x="0"/>
        <item x="1"/>
        <item t="default"/>
      </items>
    </pivotField>
    <pivotField showAll="0"/>
  </pivotFields>
  <rowFields count="1">
    <field x="10"/>
  </rowFields>
  <rowItems count="4">
    <i>
      <x/>
    </i>
    <i>
      <x v="1"/>
    </i>
    <i>
      <x v="2"/>
    </i>
    <i t="grand">
      <x/>
    </i>
  </rowItems>
  <colItems count="1">
    <i/>
  </colItems>
  <dataFields count="1">
    <dataField name="Count of emp_id" fld="0" subtotal="count" baseField="9"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2798C7-E417-4886-A46C-C097921474E5}"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11:I15" firstHeaderRow="1" firstDataRow="1" firstDataCol="1"/>
  <pivotFields count="12">
    <pivotField dataField="1" showAll="0"/>
    <pivotField showAll="0"/>
    <pivotField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showAll="0">
      <items count="4">
        <item x="2"/>
        <item x="0"/>
        <item x="1"/>
        <item t="default"/>
      </items>
    </pivotField>
    <pivotField axis="axisRow" showAll="0">
      <items count="4">
        <item x="2"/>
        <item x="0"/>
        <item x="1"/>
        <item t="default"/>
      </items>
    </pivotField>
    <pivotField showAll="0">
      <items count="4">
        <item x="1"/>
        <item x="0"/>
        <item x="2"/>
        <item t="default"/>
      </items>
    </pivotField>
    <pivotField showAll="0">
      <items count="4">
        <item x="2"/>
        <item x="0"/>
        <item x="1"/>
        <item t="default"/>
      </items>
    </pivotField>
    <pivotField showAll="0"/>
  </pivotFields>
  <rowFields count="1">
    <field x="8"/>
  </rowFields>
  <rowItems count="4">
    <i>
      <x/>
    </i>
    <i>
      <x v="1"/>
    </i>
    <i>
      <x v="2"/>
    </i>
    <i t="grand">
      <x/>
    </i>
  </rowItems>
  <colItems count="1">
    <i/>
  </colItems>
  <dataFields count="1">
    <dataField name="Count of emp_id" fld="0" subtotal="count" baseField="9" baseItem="0"/>
  </dataFields>
  <chartFormats count="5">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8" count="1" selected="0">
            <x v="0"/>
          </reference>
        </references>
      </pivotArea>
    </chartFormat>
    <chartFormat chart="2" format="7">
      <pivotArea type="data" outline="0" fieldPosition="0">
        <references count="2">
          <reference field="4294967294" count="1" selected="0">
            <x v="0"/>
          </reference>
          <reference field="8" count="1" selected="0">
            <x v="1"/>
          </reference>
        </references>
      </pivotArea>
    </chartFormat>
    <chartFormat chart="2" format="8">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ED06E7-AAB6-40BA-AA5A-7C95ADA070D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9" firstHeaderRow="1" firstDataRow="1" firstDataCol="1"/>
  <pivotFields count="12">
    <pivotField dataField="1" showAll="0"/>
    <pivotField showAll="0"/>
    <pivotField axis="axisRow"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showAll="0">
      <items count="4">
        <item x="2"/>
        <item x="0"/>
        <item x="1"/>
        <item t="default"/>
      </items>
    </pivotField>
    <pivotField showAll="0">
      <items count="4">
        <item x="2"/>
        <item x="0"/>
        <item x="1"/>
        <item t="default"/>
      </items>
    </pivotField>
    <pivotField showAll="0">
      <items count="4">
        <item x="1"/>
        <item x="0"/>
        <item x="2"/>
        <item t="default"/>
      </items>
    </pivotField>
    <pivotField showAll="0">
      <items count="4">
        <item x="2"/>
        <item x="0"/>
        <item x="1"/>
        <item t="default"/>
      </items>
    </pivotField>
    <pivotField showAll="0"/>
  </pivotFields>
  <rowFields count="1">
    <field x="2"/>
  </rowFields>
  <rowItems count="6">
    <i>
      <x/>
    </i>
    <i>
      <x v="1"/>
    </i>
    <i>
      <x v="2"/>
    </i>
    <i>
      <x v="3"/>
    </i>
    <i>
      <x v="4"/>
    </i>
    <i t="grand">
      <x/>
    </i>
  </rowItems>
  <colItems count="1">
    <i/>
  </colItems>
  <dataFields count="1">
    <dataField name="Count of emp_id"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0"/>
          </reference>
        </references>
      </pivotArea>
    </chartFormat>
    <chartFormat chart="2" format="9">
      <pivotArea type="data" outline="0" fieldPosition="0">
        <references count="2">
          <reference field="4294967294" count="1" selected="0">
            <x v="0"/>
          </reference>
          <reference field="2" count="1" selected="0">
            <x v="1"/>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3"/>
          </reference>
        </references>
      </pivotArea>
    </chartFormat>
    <chartFormat chart="2"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F373D6-C9A7-47FD-ACAD-66E7013E74B5}"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H19:I23" firstHeaderRow="1" firstDataRow="1" firstDataCol="1"/>
  <pivotFields count="12">
    <pivotField dataField="1" showAll="0"/>
    <pivotField showAll="0"/>
    <pivotField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axis="axisRow" showAll="0">
      <items count="4">
        <item x="2"/>
        <item x="0"/>
        <item x="1"/>
        <item t="default"/>
      </items>
    </pivotField>
    <pivotField showAll="0">
      <items count="4">
        <item x="2"/>
        <item x="0"/>
        <item x="1"/>
        <item t="default"/>
      </items>
    </pivotField>
    <pivotField showAll="0">
      <items count="4">
        <item x="1"/>
        <item x="0"/>
        <item x="2"/>
        <item t="default"/>
      </items>
    </pivotField>
    <pivotField showAll="0">
      <items count="4">
        <item x="2"/>
        <item x="0"/>
        <item x="1"/>
        <item t="default"/>
      </items>
    </pivotField>
    <pivotField showAll="0"/>
  </pivotFields>
  <rowFields count="1">
    <field x="7"/>
  </rowFields>
  <rowItems count="4">
    <i>
      <x/>
    </i>
    <i>
      <x v="1"/>
    </i>
    <i>
      <x v="2"/>
    </i>
    <i t="grand">
      <x/>
    </i>
  </rowItems>
  <colItems count="1">
    <i/>
  </colItems>
  <dataFields count="1">
    <dataField name="Count of emp_id" fld="0" subtotal="count" baseField="9"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B463FB0-C244-4CD4-94FE-F5B89A6D62B1}"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1:E24" firstHeaderRow="1" firstDataRow="1" firstDataCol="1"/>
  <pivotFields count="12">
    <pivotField dataField="1" showAll="0"/>
    <pivotField showAll="0"/>
    <pivotField showAll="0">
      <items count="6">
        <item x="1"/>
        <item x="0"/>
        <item x="3"/>
        <item x="2"/>
        <item x="4"/>
        <item t="default"/>
      </items>
    </pivotField>
    <pivotField axis="axisRow"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showAll="0">
      <items count="4">
        <item x="2"/>
        <item x="0"/>
        <item x="1"/>
        <item t="default"/>
      </items>
    </pivotField>
    <pivotField showAll="0">
      <items count="4">
        <item x="2"/>
        <item x="0"/>
        <item x="1"/>
        <item t="default"/>
      </items>
    </pivotField>
    <pivotField showAll="0">
      <items count="4">
        <item x="1"/>
        <item x="0"/>
        <item x="2"/>
        <item t="default"/>
      </items>
    </pivotField>
    <pivotField showAll="0">
      <items count="4">
        <item x="2"/>
        <item x="0"/>
        <item x="1"/>
        <item t="default"/>
      </items>
    </pivotField>
    <pivotField showAll="0"/>
  </pivotFields>
  <rowFields count="1">
    <field x="3"/>
  </rowFields>
  <rowItems count="13">
    <i>
      <x/>
    </i>
    <i>
      <x v="1"/>
    </i>
    <i>
      <x v="2"/>
    </i>
    <i>
      <x v="3"/>
    </i>
    <i>
      <x v="4"/>
    </i>
    <i>
      <x v="5"/>
    </i>
    <i>
      <x v="6"/>
    </i>
    <i>
      <x v="7"/>
    </i>
    <i>
      <x v="8"/>
    </i>
    <i>
      <x v="9"/>
    </i>
    <i>
      <x v="10"/>
    </i>
    <i>
      <x v="11"/>
    </i>
    <i t="grand">
      <x/>
    </i>
  </rowItems>
  <colItems count="1">
    <i/>
  </colItems>
  <dataFields count="1">
    <dataField name="Count of emp_id" fld="0" subtotal="count" baseField="9"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74257C-F8A2-4747-8D86-B6DD501E5C5E}"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D4:E8" firstHeaderRow="1" firstDataRow="1" firstDataCol="1"/>
  <pivotFields count="12">
    <pivotField dataField="1" showAll="0"/>
    <pivotField showAll="0"/>
    <pivotField showAll="0">
      <items count="6">
        <item x="1"/>
        <item x="0"/>
        <item x="3"/>
        <item x="2"/>
        <item x="4"/>
        <item t="default"/>
      </items>
    </pivotField>
    <pivotField showAll="0">
      <items count="13">
        <item x="1"/>
        <item x="6"/>
        <item x="9"/>
        <item x="0"/>
        <item x="8"/>
        <item x="3"/>
        <item x="10"/>
        <item x="4"/>
        <item x="7"/>
        <item x="2"/>
        <item x="5"/>
        <item x="11"/>
        <item t="default"/>
      </items>
    </pivotField>
    <pivotField showAll="0"/>
    <pivotField showAll="0"/>
    <pivotField showAll="0">
      <items count="7">
        <item x="0"/>
        <item x="2"/>
        <item x="3"/>
        <item x="5"/>
        <item x="1"/>
        <item x="4"/>
        <item t="default"/>
      </items>
    </pivotField>
    <pivotField showAll="0">
      <items count="4">
        <item x="2"/>
        <item x="0"/>
        <item x="1"/>
        <item t="default"/>
      </items>
    </pivotField>
    <pivotField showAll="0">
      <items count="4">
        <item x="2"/>
        <item x="0"/>
        <item x="1"/>
        <item t="default"/>
      </items>
    </pivotField>
    <pivotField axis="axisRow" showAll="0">
      <items count="4">
        <item x="1"/>
        <item x="0"/>
        <item x="2"/>
        <item t="default"/>
      </items>
    </pivotField>
    <pivotField showAll="0">
      <items count="4">
        <item x="2"/>
        <item x="0"/>
        <item x="1"/>
        <item t="default"/>
      </items>
    </pivotField>
    <pivotField showAll="0"/>
  </pivotFields>
  <rowFields count="1">
    <field x="9"/>
  </rowFields>
  <rowItems count="4">
    <i>
      <x/>
    </i>
    <i>
      <x v="1"/>
    </i>
    <i>
      <x v="2"/>
    </i>
    <i t="grand">
      <x/>
    </i>
  </rowItems>
  <colItems count="1">
    <i/>
  </colItems>
  <dataFields count="1">
    <dataField name="Count of emp_id" fld="0" subtotal="count" baseField="9"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s_return" xr10:uid="{410780B2-DCD5-40E9-AD02-F68C5C517BD2}" sourceName="assets_return">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1CFDC79-FDEC-4876-B306-2DA569691DC7}" sourceName="department">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5">
        <i x="1" s="1"/>
        <i x="0"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F4C4DFEB-2768-43EB-85A0-6ED2FD1FCA93}" sourceName="designation">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12">
        <i x="1" s="1"/>
        <i x="6" s="1"/>
        <i x="9" s="1"/>
        <i x="0" s="1"/>
        <i x="8" s="1"/>
        <i x="3" s="1"/>
        <i x="10" s="1"/>
        <i x="4" s="1"/>
        <i x="7" s="1"/>
        <i x="2" s="1"/>
        <i x="5"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it_interview" xr10:uid="{3CB522A7-3B42-4A06-8FF9-784AE96CC760}" sourceName="exit_interview">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3">
        <i x="2"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earance_status" xr10:uid="{F602F1CF-6046-4E10-83D7-D6192EE4D18F}" sourceName="clearance_status">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3">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settlement" xr10:uid="{8A947BA2-C58A-49A1-9AE5-DCB77A38F293}" sourceName="final_settlement">
  <pivotTables>
    <pivotTable tabId="9" name="PivotTable6"/>
    <pivotTable tabId="9" name="PivotTable1"/>
    <pivotTable tabId="9" name="PivotTable3"/>
    <pivotTable tabId="9" name="PivotTable4"/>
    <pivotTable tabId="9" name="PivotTable7"/>
    <pivotTable tabId="9" name="PivotTable8"/>
    <pivotTable tabId="9" name="PivotTable9"/>
  </pivotTables>
  <data>
    <tabular pivotCacheId="1637970468">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s_return" xr10:uid="{235AB7C4-4ACA-467F-AA4A-7D755B3EE596}" cache="Slicer_assets_return" caption="assets_return" columnCount="2" rowHeight="241300"/>
  <slicer name="department" xr10:uid="{C70D903D-7111-4FC1-90CC-2747045AF340}" cache="Slicer_department" caption="department" columnCount="2" rowHeight="241300"/>
  <slicer name="designation" xr10:uid="{AA2923DF-1CF3-417F-80C8-1561AEB58B24}" cache="Slicer_designation" caption="designation" columnCount="2" rowHeight="241300"/>
  <slicer name="exit_interview" xr10:uid="{CA8B9132-8AD5-4B18-86B4-9E88A8947098}" cache="Slicer_exit_interview" caption="exit_interview" columnCount="2" rowHeight="241300"/>
  <slicer name="clearance_status" xr10:uid="{487F1B2C-87FB-47EF-92D7-5E5DF0F9BFC2}" cache="Slicer_clearance_status" caption="clearance_status" columnCount="2" rowHeight="241300"/>
  <slicer name="final_settlement" xr10:uid="{4FD1FCAB-6EC5-4D46-9942-8239B9D99178}" cache="Slicer_final_settlement" caption="final_settlement"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3F3733-CC7F-4660-B2A5-17E13EFF1E4C}" name="Table2" displayName="Table2" ref="A1:L21" totalsRowShown="0">
  <autoFilter ref="A1:L21" xr:uid="{E57FC312-FB40-4EA3-9200-F90C29196BE9}"/>
  <tableColumns count="12">
    <tableColumn id="1" xr3:uid="{511B6A6D-89BA-4AA3-9645-DCC77EA6F984}" name="emp_id"/>
    <tableColumn id="2" xr3:uid="{CA7B03B2-F33F-4CD3-8B50-798FE1CEB5D2}" name="emp_name"/>
    <tableColumn id="3" xr3:uid="{F429F84E-E5FE-437C-8ECC-5DD8A780919E}" name="department"/>
    <tableColumn id="4" xr3:uid="{7DC19822-461E-40C9-B517-56329C6EC81C}" name="designation"/>
    <tableColumn id="5" xr3:uid="{7D9C6D06-EFFA-4D24-BB1D-086890FFCAA6}" name="DOR" dataDxfId="1"/>
    <tableColumn id="6" xr3:uid="{1264F4D8-DF87-4F8F-9FF5-1942B374A5E0}" name="last_working_day" dataDxfId="0"/>
    <tableColumn id="7" xr3:uid="{76EA9870-4ABB-4664-BF50-BC1E0ECA9435}" name="manager_name"/>
    <tableColumn id="8" xr3:uid="{C8775F87-C119-4E92-BC87-BD8A2413838C}" name="exit_interview"/>
    <tableColumn id="9" xr3:uid="{45FDDDB7-2A38-49A8-94AD-2C2D4C3FCE9B}" name="assets_return"/>
    <tableColumn id="10" xr3:uid="{A4E67207-3A9D-43AB-B99E-C8A3B2C816D5}" name="clearance_status"/>
    <tableColumn id="11" xr3:uid="{C1E4B0D7-4DB4-4712-B17D-7C740911BE35}" name="final_settlement"/>
    <tableColumn id="12" xr3:uid="{0B7E4C5E-9366-440C-8A76-2EC72F38AB04}" name="remark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F69E8B-794A-4C8E-BF56-29497A246F22}" name="Table1" displayName="Table1" ref="A1:C13" totalsRowShown="0">
  <autoFilter ref="A1:C13" xr:uid="{4B258310-E4A4-4F85-A5D1-A5F9E6126917}"/>
  <tableColumns count="3">
    <tableColumn id="1" xr3:uid="{B18A8FDB-70F2-43F7-BA8D-13FC314AC869}" name="department_list"/>
    <tableColumn id="2" xr3:uid="{68676780-0ED4-4D07-A7E5-5A5014071FF1}" name="designation_list"/>
    <tableColumn id="3" xr3:uid="{782593F4-0123-467F-A5AB-3F6E76E47F8A}" name="manager_li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639E-FE9C-4381-8D0D-A828D3CDE1DB}">
  <sheetPr codeName="Sheet1"/>
  <dimension ref="D7"/>
  <sheetViews>
    <sheetView showGridLines="0" workbookViewId="0">
      <selection activeCell="P35" sqref="P34:P35"/>
    </sheetView>
  </sheetViews>
  <sheetFormatPr defaultRowHeight="15" x14ac:dyDescent="0.25"/>
  <sheetData>
    <row r="7" spans="4:4" x14ac:dyDescent="0.25">
      <c r="D7" t="s">
        <v>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2104C-9706-467E-AA4B-B38598C68B5D}">
  <sheetPr codeName="Sheet2"/>
  <dimension ref="A1"/>
  <sheetViews>
    <sheetView showGridLines="0" tabSelected="1" zoomScaleNormal="100" workbookViewId="0">
      <selection activeCell="AB5" sqref="AB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49413-33D6-44BD-B362-0DB23B39B4DF}">
  <sheetPr codeName="Sheet4"/>
  <dimension ref="A1:L21"/>
  <sheetViews>
    <sheetView workbookViewId="0">
      <selection activeCell="K17" sqref="K17"/>
    </sheetView>
  </sheetViews>
  <sheetFormatPr defaultRowHeight="15" x14ac:dyDescent="0.25"/>
  <cols>
    <col min="1" max="1" width="7" bestFit="1" customWidth="1"/>
    <col min="2" max="2" width="18" bestFit="1" customWidth="1"/>
    <col min="3" max="3" width="10" bestFit="1" customWidth="1"/>
    <col min="4" max="4" width="18.42578125" bestFit="1" customWidth="1"/>
    <col min="5" max="5" width="10.42578125" bestFit="1" customWidth="1"/>
    <col min="6" max="6" width="18.85546875" bestFit="1" customWidth="1"/>
    <col min="7" max="7" width="18" bestFit="1" customWidth="1"/>
    <col min="8" max="8" width="16.42578125" bestFit="1" customWidth="1"/>
    <col min="9" max="9" width="15.42578125" bestFit="1" customWidth="1"/>
    <col min="10" max="10" width="18.140625" bestFit="1" customWidth="1"/>
    <col min="11" max="11" width="18.28515625" bestFit="1" customWidth="1"/>
    <col min="12" max="12" width="16.28515625" bestFit="1" customWidth="1"/>
  </cols>
  <sheetData>
    <row r="1" spans="1:12" x14ac:dyDescent="0.25">
      <c r="A1" t="s">
        <v>5</v>
      </c>
      <c r="B1" t="s">
        <v>6</v>
      </c>
      <c r="C1" t="s">
        <v>7</v>
      </c>
      <c r="D1" t="s">
        <v>8</v>
      </c>
      <c r="E1" t="s">
        <v>9</v>
      </c>
      <c r="F1" t="s">
        <v>11</v>
      </c>
      <c r="G1" t="s">
        <v>10</v>
      </c>
      <c r="H1" t="s">
        <v>12</v>
      </c>
      <c r="I1" t="s">
        <v>13</v>
      </c>
      <c r="J1" t="s">
        <v>14</v>
      </c>
      <c r="K1" t="s">
        <v>15</v>
      </c>
      <c r="L1" t="s">
        <v>16</v>
      </c>
    </row>
    <row r="2" spans="1:12" x14ac:dyDescent="0.25">
      <c r="A2">
        <v>500101</v>
      </c>
      <c r="B2" t="s">
        <v>17</v>
      </c>
      <c r="C2" t="s">
        <v>39</v>
      </c>
      <c r="D2" t="s">
        <v>40</v>
      </c>
      <c r="E2" s="2"/>
      <c r="F2" s="2"/>
      <c r="G2" t="s">
        <v>26</v>
      </c>
      <c r="H2" t="s">
        <v>51</v>
      </c>
      <c r="I2" t="s">
        <v>51</v>
      </c>
      <c r="J2" t="s">
        <v>51</v>
      </c>
      <c r="K2" t="s">
        <v>51</v>
      </c>
      <c r="L2" t="s">
        <v>51</v>
      </c>
    </row>
    <row r="3" spans="1:12" x14ac:dyDescent="0.25">
      <c r="A3">
        <v>500102</v>
      </c>
      <c r="B3" t="s">
        <v>18</v>
      </c>
      <c r="C3" t="s">
        <v>38</v>
      </c>
      <c r="D3" t="s">
        <v>42</v>
      </c>
      <c r="E3" s="2">
        <v>45902</v>
      </c>
      <c r="F3" s="2">
        <f t="shared" ref="F3:F21" si="0">EDATE(E3,1)</f>
        <v>45932</v>
      </c>
      <c r="G3" t="s">
        <v>29</v>
      </c>
      <c r="H3" t="s">
        <v>0</v>
      </c>
      <c r="I3" t="s">
        <v>0</v>
      </c>
      <c r="J3" t="s">
        <v>53</v>
      </c>
      <c r="K3" t="s">
        <v>0</v>
      </c>
      <c r="L3" t="s">
        <v>54</v>
      </c>
    </row>
    <row r="4" spans="1:12" x14ac:dyDescent="0.25">
      <c r="A4">
        <v>500103</v>
      </c>
      <c r="B4" t="s">
        <v>19</v>
      </c>
      <c r="C4" t="s">
        <v>4</v>
      </c>
      <c r="D4" t="s">
        <v>45</v>
      </c>
      <c r="E4" s="2"/>
      <c r="F4" s="2"/>
      <c r="G4" t="s">
        <v>51</v>
      </c>
      <c r="H4" t="s">
        <v>51</v>
      </c>
      <c r="I4" t="s">
        <v>51</v>
      </c>
      <c r="J4" t="s">
        <v>51</v>
      </c>
      <c r="K4" t="s">
        <v>51</v>
      </c>
    </row>
    <row r="5" spans="1:12" x14ac:dyDescent="0.25">
      <c r="A5">
        <v>500104</v>
      </c>
      <c r="B5" t="s">
        <v>20</v>
      </c>
      <c r="C5" t="s">
        <v>37</v>
      </c>
      <c r="D5" t="s">
        <v>46</v>
      </c>
      <c r="E5" s="2"/>
      <c r="F5" s="2"/>
      <c r="G5" t="s">
        <v>51</v>
      </c>
      <c r="H5" t="s">
        <v>51</v>
      </c>
      <c r="I5" t="s">
        <v>51</v>
      </c>
      <c r="J5" t="s">
        <v>51</v>
      </c>
      <c r="K5" t="s">
        <v>51</v>
      </c>
    </row>
    <row r="6" spans="1:12" x14ac:dyDescent="0.25">
      <c r="A6">
        <v>500105</v>
      </c>
      <c r="B6" t="s">
        <v>21</v>
      </c>
      <c r="C6" t="s">
        <v>4</v>
      </c>
      <c r="D6" t="s">
        <v>41</v>
      </c>
      <c r="E6" s="2">
        <v>45885</v>
      </c>
      <c r="F6" s="2">
        <f t="shared" si="0"/>
        <v>45916</v>
      </c>
      <c r="G6" t="s">
        <v>19</v>
      </c>
      <c r="H6" t="s">
        <v>0</v>
      </c>
      <c r="I6" t="s">
        <v>0</v>
      </c>
      <c r="J6" t="s">
        <v>53</v>
      </c>
      <c r="K6" t="s">
        <v>0</v>
      </c>
      <c r="L6" t="s">
        <v>54</v>
      </c>
    </row>
    <row r="7" spans="1:12" x14ac:dyDescent="0.25">
      <c r="A7">
        <v>500106</v>
      </c>
      <c r="B7" t="s">
        <v>22</v>
      </c>
      <c r="C7" t="s">
        <v>1</v>
      </c>
      <c r="D7" t="s">
        <v>2</v>
      </c>
      <c r="E7" s="2">
        <v>45886</v>
      </c>
      <c r="F7" s="2">
        <f t="shared" si="0"/>
        <v>45917</v>
      </c>
      <c r="G7" t="s">
        <v>35</v>
      </c>
      <c r="H7" t="s">
        <v>3</v>
      </c>
      <c r="I7" t="s">
        <v>3</v>
      </c>
      <c r="J7" t="s">
        <v>52</v>
      </c>
      <c r="K7" t="s">
        <v>3</v>
      </c>
      <c r="L7" t="s">
        <v>55</v>
      </c>
    </row>
    <row r="8" spans="1:12" x14ac:dyDescent="0.25">
      <c r="A8">
        <v>500107</v>
      </c>
      <c r="B8" t="s">
        <v>23</v>
      </c>
      <c r="C8" t="s">
        <v>39</v>
      </c>
      <c r="D8" t="s">
        <v>40</v>
      </c>
      <c r="E8" s="2">
        <v>45783</v>
      </c>
      <c r="F8" s="2">
        <f t="shared" si="0"/>
        <v>45814</v>
      </c>
      <c r="G8" t="s">
        <v>26</v>
      </c>
      <c r="H8" t="s">
        <v>3</v>
      </c>
      <c r="I8" t="s">
        <v>3</v>
      </c>
      <c r="J8" t="s">
        <v>52</v>
      </c>
      <c r="K8" t="s">
        <v>3</v>
      </c>
    </row>
    <row r="9" spans="1:12" x14ac:dyDescent="0.25">
      <c r="A9">
        <v>500108</v>
      </c>
      <c r="B9" t="s">
        <v>24</v>
      </c>
      <c r="C9" t="s">
        <v>37</v>
      </c>
      <c r="D9" t="s">
        <v>43</v>
      </c>
      <c r="E9" s="2"/>
      <c r="F9" s="2"/>
      <c r="G9" t="s">
        <v>20</v>
      </c>
      <c r="H9" t="s">
        <v>51</v>
      </c>
      <c r="I9" t="s">
        <v>51</v>
      </c>
      <c r="J9" t="s">
        <v>51</v>
      </c>
      <c r="K9" t="s">
        <v>51</v>
      </c>
    </row>
    <row r="10" spans="1:12" x14ac:dyDescent="0.25">
      <c r="A10">
        <v>500109</v>
      </c>
      <c r="B10" t="s">
        <v>25</v>
      </c>
      <c r="C10" t="s">
        <v>4</v>
      </c>
      <c r="D10" t="s">
        <v>44</v>
      </c>
      <c r="E10" s="2">
        <v>45785</v>
      </c>
      <c r="F10" s="2">
        <f t="shared" si="0"/>
        <v>45816</v>
      </c>
      <c r="G10" t="s">
        <v>19</v>
      </c>
      <c r="H10" t="s">
        <v>0</v>
      </c>
      <c r="I10" t="s">
        <v>0</v>
      </c>
      <c r="J10" t="s">
        <v>53</v>
      </c>
      <c r="K10" t="s">
        <v>0</v>
      </c>
    </row>
    <row r="11" spans="1:12" x14ac:dyDescent="0.25">
      <c r="A11">
        <v>500110</v>
      </c>
      <c r="B11" t="s">
        <v>26</v>
      </c>
      <c r="C11" t="s">
        <v>39</v>
      </c>
      <c r="D11" t="s">
        <v>49</v>
      </c>
      <c r="E11" s="2"/>
      <c r="F11" s="2"/>
      <c r="G11" t="s">
        <v>51</v>
      </c>
      <c r="H11" t="s">
        <v>51</v>
      </c>
      <c r="I11" t="s">
        <v>51</v>
      </c>
      <c r="J11" t="s">
        <v>51</v>
      </c>
      <c r="K11" t="s">
        <v>51</v>
      </c>
    </row>
    <row r="12" spans="1:12" x14ac:dyDescent="0.25">
      <c r="A12">
        <v>500111</v>
      </c>
      <c r="B12" t="s">
        <v>27</v>
      </c>
      <c r="C12" t="s">
        <v>1</v>
      </c>
      <c r="D12" t="s">
        <v>2</v>
      </c>
      <c r="E12" s="2">
        <v>45315</v>
      </c>
      <c r="F12" s="2">
        <f t="shared" si="0"/>
        <v>45346</v>
      </c>
      <c r="G12" t="s">
        <v>35</v>
      </c>
      <c r="H12" t="s">
        <v>3</v>
      </c>
      <c r="I12" t="s">
        <v>0</v>
      </c>
      <c r="J12" t="s">
        <v>52</v>
      </c>
      <c r="K12" t="s">
        <v>3</v>
      </c>
    </row>
    <row r="13" spans="1:12" x14ac:dyDescent="0.25">
      <c r="A13">
        <v>500112</v>
      </c>
      <c r="B13" t="s">
        <v>28</v>
      </c>
      <c r="C13" t="s">
        <v>37</v>
      </c>
      <c r="D13" t="s">
        <v>43</v>
      </c>
      <c r="E13" s="2">
        <v>45316</v>
      </c>
      <c r="F13" s="2">
        <f t="shared" si="0"/>
        <v>45347</v>
      </c>
      <c r="G13" t="s">
        <v>20</v>
      </c>
      <c r="H13" t="s">
        <v>0</v>
      </c>
      <c r="I13" t="s">
        <v>0</v>
      </c>
      <c r="J13" t="s">
        <v>53</v>
      </c>
      <c r="K13" t="s">
        <v>0</v>
      </c>
    </row>
    <row r="14" spans="1:12" x14ac:dyDescent="0.25">
      <c r="A14">
        <v>500113</v>
      </c>
      <c r="B14" t="s">
        <v>29</v>
      </c>
      <c r="C14" t="s">
        <v>38</v>
      </c>
      <c r="D14" t="s">
        <v>47</v>
      </c>
      <c r="E14" s="2"/>
      <c r="F14" s="2"/>
      <c r="G14" t="s">
        <v>51</v>
      </c>
      <c r="H14" t="s">
        <v>51</v>
      </c>
      <c r="I14" t="s">
        <v>51</v>
      </c>
      <c r="J14" t="s">
        <v>51</v>
      </c>
      <c r="K14" t="s">
        <v>51</v>
      </c>
    </row>
    <row r="15" spans="1:12" x14ac:dyDescent="0.25">
      <c r="A15">
        <v>500114</v>
      </c>
      <c r="B15" t="s">
        <v>30</v>
      </c>
      <c r="C15" t="s">
        <v>38</v>
      </c>
      <c r="D15" t="s">
        <v>42</v>
      </c>
      <c r="E15" s="2">
        <v>45410</v>
      </c>
      <c r="F15" s="2">
        <f t="shared" si="0"/>
        <v>45440</v>
      </c>
      <c r="G15" t="s">
        <v>29</v>
      </c>
      <c r="H15" t="s">
        <v>3</v>
      </c>
      <c r="I15" t="s">
        <v>3</v>
      </c>
      <c r="J15" t="s">
        <v>52</v>
      </c>
      <c r="K15" t="s">
        <v>3</v>
      </c>
    </row>
    <row r="16" spans="1:12" x14ac:dyDescent="0.25">
      <c r="A16">
        <v>500115</v>
      </c>
      <c r="B16" t="s">
        <v>31</v>
      </c>
      <c r="C16" t="s">
        <v>1</v>
      </c>
      <c r="D16" t="s">
        <v>2</v>
      </c>
      <c r="E16" s="2">
        <v>45411</v>
      </c>
      <c r="F16" s="2">
        <f t="shared" si="0"/>
        <v>45441</v>
      </c>
      <c r="G16" t="s">
        <v>35</v>
      </c>
      <c r="H16" t="s">
        <v>0</v>
      </c>
      <c r="I16" t="s">
        <v>0</v>
      </c>
      <c r="J16" t="s">
        <v>53</v>
      </c>
      <c r="K16" t="s">
        <v>0</v>
      </c>
    </row>
    <row r="17" spans="1:11" x14ac:dyDescent="0.25">
      <c r="A17">
        <v>500116</v>
      </c>
      <c r="B17" t="s">
        <v>32</v>
      </c>
      <c r="C17" t="s">
        <v>4</v>
      </c>
      <c r="D17" t="s">
        <v>41</v>
      </c>
      <c r="E17" s="2">
        <v>45412</v>
      </c>
      <c r="F17" s="2">
        <f t="shared" si="0"/>
        <v>45442</v>
      </c>
      <c r="G17" t="s">
        <v>19</v>
      </c>
      <c r="H17" t="s">
        <v>0</v>
      </c>
      <c r="I17" t="s">
        <v>3</v>
      </c>
      <c r="J17" t="s">
        <v>52</v>
      </c>
    </row>
    <row r="18" spans="1:11" x14ac:dyDescent="0.25">
      <c r="A18">
        <v>500117</v>
      </c>
      <c r="B18" t="s">
        <v>33</v>
      </c>
      <c r="C18" t="s">
        <v>37</v>
      </c>
      <c r="D18" t="s">
        <v>43</v>
      </c>
      <c r="E18" s="2">
        <v>45413</v>
      </c>
      <c r="F18" s="2">
        <f t="shared" si="0"/>
        <v>45444</v>
      </c>
      <c r="G18" t="s">
        <v>20</v>
      </c>
      <c r="H18" t="s">
        <v>0</v>
      </c>
      <c r="I18" t="s">
        <v>0</v>
      </c>
      <c r="J18" t="s">
        <v>53</v>
      </c>
      <c r="K18" t="s">
        <v>0</v>
      </c>
    </row>
    <row r="19" spans="1:11" x14ac:dyDescent="0.25">
      <c r="A19">
        <v>500118</v>
      </c>
      <c r="B19" t="s">
        <v>34</v>
      </c>
      <c r="C19" t="s">
        <v>39</v>
      </c>
      <c r="D19" t="s">
        <v>50</v>
      </c>
      <c r="E19" s="2">
        <v>45920</v>
      </c>
      <c r="F19" s="2">
        <f t="shared" si="0"/>
        <v>45950</v>
      </c>
      <c r="G19" t="s">
        <v>26</v>
      </c>
      <c r="H19" t="s">
        <v>0</v>
      </c>
      <c r="I19" t="s">
        <v>0</v>
      </c>
      <c r="J19" t="s">
        <v>53</v>
      </c>
      <c r="K19" t="s">
        <v>0</v>
      </c>
    </row>
    <row r="20" spans="1:11" x14ac:dyDescent="0.25">
      <c r="A20">
        <v>500119</v>
      </c>
      <c r="B20" t="s">
        <v>35</v>
      </c>
      <c r="C20" t="s">
        <v>1</v>
      </c>
      <c r="D20" t="s">
        <v>48</v>
      </c>
      <c r="E20" s="2"/>
      <c r="F20" s="2"/>
      <c r="G20" t="s">
        <v>51</v>
      </c>
      <c r="H20" t="s">
        <v>51</v>
      </c>
      <c r="I20" t="s">
        <v>51</v>
      </c>
      <c r="J20" t="s">
        <v>51</v>
      </c>
      <c r="K20" t="s">
        <v>51</v>
      </c>
    </row>
    <row r="21" spans="1:11" x14ac:dyDescent="0.25">
      <c r="A21">
        <v>500220</v>
      </c>
      <c r="B21" t="s">
        <v>36</v>
      </c>
      <c r="C21" t="s">
        <v>37</v>
      </c>
      <c r="D21" t="s">
        <v>43</v>
      </c>
      <c r="E21" s="2">
        <v>45922</v>
      </c>
      <c r="F21" s="2">
        <f t="shared" si="0"/>
        <v>45952</v>
      </c>
      <c r="G21" t="s">
        <v>20</v>
      </c>
      <c r="H21" t="s">
        <v>0</v>
      </c>
      <c r="I21" t="s">
        <v>0</v>
      </c>
      <c r="J21" t="s">
        <v>53</v>
      </c>
      <c r="K21" t="s">
        <v>0</v>
      </c>
    </row>
  </sheetData>
  <dataValidations count="2">
    <dataValidation type="list" allowBlank="1" showInputMessage="1" showErrorMessage="1" sqref="H2:I21 K2:K21" xr:uid="{D9492284-708D-4DB3-8F00-822E425C6F12}">
      <formula1>"Yes,No,Not Applicable"</formula1>
    </dataValidation>
    <dataValidation type="list" allowBlank="1" showInputMessage="1" showErrorMessage="1" sqref="J2:J21" xr:uid="{2B98369A-577E-48B7-811D-7390E6899E61}">
      <formula1>"Completed,Pending,Not Applicable"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5B03-AD43-4BC5-8EE9-6CDC4E7F8E10}">
  <sheetPr codeName="Sheet5"/>
  <dimension ref="A1:C13"/>
  <sheetViews>
    <sheetView workbookViewId="0">
      <selection activeCell="F17" sqref="F17"/>
    </sheetView>
  </sheetViews>
  <sheetFormatPr defaultRowHeight="15" x14ac:dyDescent="0.25"/>
  <cols>
    <col min="1" max="1" width="17.42578125" customWidth="1"/>
    <col min="2" max="2" width="18.42578125" bestFit="1" customWidth="1"/>
    <col min="3" max="3" width="18" bestFit="1" customWidth="1"/>
  </cols>
  <sheetData>
    <row r="1" spans="1:3" x14ac:dyDescent="0.25">
      <c r="A1" t="s">
        <v>56</v>
      </c>
      <c r="B1" t="s">
        <v>57</v>
      </c>
      <c r="C1" t="s">
        <v>58</v>
      </c>
    </row>
    <row r="2" spans="1:3" x14ac:dyDescent="0.25">
      <c r="A2" t="s">
        <v>38</v>
      </c>
      <c r="B2" t="s">
        <v>40</v>
      </c>
      <c r="C2" t="s">
        <v>26</v>
      </c>
    </row>
    <row r="3" spans="1:3" x14ac:dyDescent="0.25">
      <c r="A3" t="s">
        <v>37</v>
      </c>
      <c r="B3" t="s">
        <v>42</v>
      </c>
      <c r="C3" t="s">
        <v>51</v>
      </c>
    </row>
    <row r="4" spans="1:3" x14ac:dyDescent="0.25">
      <c r="A4" t="s">
        <v>1</v>
      </c>
      <c r="B4" t="s">
        <v>45</v>
      </c>
      <c r="C4" t="s">
        <v>19</v>
      </c>
    </row>
    <row r="5" spans="1:3" x14ac:dyDescent="0.25">
      <c r="A5" t="s">
        <v>39</v>
      </c>
      <c r="B5" t="s">
        <v>46</v>
      </c>
      <c r="C5" t="s">
        <v>29</v>
      </c>
    </row>
    <row r="6" spans="1:3" x14ac:dyDescent="0.25">
      <c r="A6" t="s">
        <v>4</v>
      </c>
      <c r="B6" t="s">
        <v>41</v>
      </c>
      <c r="C6" t="s">
        <v>20</v>
      </c>
    </row>
    <row r="7" spans="1:3" x14ac:dyDescent="0.25">
      <c r="B7" t="s">
        <v>2</v>
      </c>
      <c r="C7" t="s">
        <v>59</v>
      </c>
    </row>
    <row r="8" spans="1:3" x14ac:dyDescent="0.25">
      <c r="B8" t="s">
        <v>43</v>
      </c>
    </row>
    <row r="9" spans="1:3" x14ac:dyDescent="0.25">
      <c r="B9" t="s">
        <v>44</v>
      </c>
    </row>
    <row r="10" spans="1:3" x14ac:dyDescent="0.25">
      <c r="B10" t="s">
        <v>49</v>
      </c>
    </row>
    <row r="11" spans="1:3" x14ac:dyDescent="0.25">
      <c r="B11" t="s">
        <v>47</v>
      </c>
    </row>
    <row r="12" spans="1:3" x14ac:dyDescent="0.25">
      <c r="B12" t="s">
        <v>50</v>
      </c>
    </row>
    <row r="13" spans="1:3" x14ac:dyDescent="0.25">
      <c r="B13" t="s">
        <v>48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D984-A00B-4E19-962C-35934FE54564}">
  <sheetPr codeName="Sheet3"/>
  <dimension ref="A3:X31"/>
  <sheetViews>
    <sheetView workbookViewId="0">
      <selection activeCell="N11" sqref="N11"/>
    </sheetView>
  </sheetViews>
  <sheetFormatPr defaultRowHeight="15" x14ac:dyDescent="0.25"/>
  <cols>
    <col min="1" max="1" width="13.140625" bestFit="1" customWidth="1"/>
    <col min="2" max="2" width="15.85546875" bestFit="1" customWidth="1"/>
    <col min="3" max="3" width="7" bestFit="1" customWidth="1"/>
    <col min="4" max="4" width="14.28515625" bestFit="1" customWidth="1"/>
    <col min="5" max="5" width="15.85546875" bestFit="1" customWidth="1"/>
    <col min="6" max="6" width="7" bestFit="1" customWidth="1"/>
    <col min="7" max="7" width="13.140625" bestFit="1" customWidth="1"/>
    <col min="8" max="8" width="14.28515625" bestFit="1" customWidth="1"/>
    <col min="9" max="9" width="15.85546875" bestFit="1" customWidth="1"/>
    <col min="10" max="13" width="7" bestFit="1" customWidth="1"/>
    <col min="14" max="14" width="18" bestFit="1" customWidth="1"/>
    <col min="15" max="15" width="15.85546875" bestFit="1" customWidth="1"/>
    <col min="16" max="21" width="7" bestFit="1" customWidth="1"/>
    <col min="22" max="22" width="11.28515625" bestFit="1" customWidth="1"/>
    <col min="23" max="25" width="7" bestFit="1" customWidth="1"/>
    <col min="26" max="26" width="10.42578125" bestFit="1" customWidth="1"/>
    <col min="27" max="27" width="11.28515625" bestFit="1" customWidth="1"/>
  </cols>
  <sheetData>
    <row r="3" spans="1:24" x14ac:dyDescent="0.25">
      <c r="A3" s="3" t="s">
        <v>61</v>
      </c>
      <c r="B3" t="s">
        <v>62</v>
      </c>
    </row>
    <row r="4" spans="1:24" x14ac:dyDescent="0.25">
      <c r="A4" s="4" t="s">
        <v>38</v>
      </c>
      <c r="B4" s="1">
        <v>3</v>
      </c>
      <c r="D4" s="3" t="s">
        <v>61</v>
      </c>
      <c r="E4" t="s">
        <v>62</v>
      </c>
      <c r="F4" t="s">
        <v>65</v>
      </c>
    </row>
    <row r="5" spans="1:24" x14ac:dyDescent="0.25">
      <c r="A5" s="4" t="s">
        <v>39</v>
      </c>
      <c r="B5" s="1">
        <v>4</v>
      </c>
      <c r="D5" s="4" t="s">
        <v>53</v>
      </c>
      <c r="E5" s="1">
        <v>8</v>
      </c>
    </row>
    <row r="6" spans="1:24" x14ac:dyDescent="0.25">
      <c r="A6" s="4" t="s">
        <v>37</v>
      </c>
      <c r="B6" s="1">
        <v>5</v>
      </c>
      <c r="D6" s="4" t="s">
        <v>51</v>
      </c>
      <c r="E6" s="1">
        <v>7</v>
      </c>
    </row>
    <row r="7" spans="1:24" x14ac:dyDescent="0.25">
      <c r="A7" s="4" t="s">
        <v>4</v>
      </c>
      <c r="B7" s="1">
        <v>4</v>
      </c>
      <c r="D7" s="4" t="s">
        <v>52</v>
      </c>
      <c r="E7" s="1">
        <v>5</v>
      </c>
    </row>
    <row r="8" spans="1:24" x14ac:dyDescent="0.25">
      <c r="A8" s="4" t="s">
        <v>1</v>
      </c>
      <c r="B8" s="1">
        <v>4</v>
      </c>
      <c r="D8" s="4" t="s">
        <v>60</v>
      </c>
      <c r="E8" s="1">
        <v>20</v>
      </c>
    </row>
    <row r="9" spans="1:24" x14ac:dyDescent="0.25">
      <c r="A9" s="4" t="s">
        <v>60</v>
      </c>
      <c r="B9" s="1">
        <v>20</v>
      </c>
    </row>
    <row r="10" spans="1:24" x14ac:dyDescent="0.25">
      <c r="A10" s="4" t="s">
        <v>64</v>
      </c>
      <c r="D10" s="4" t="s">
        <v>63</v>
      </c>
      <c r="H10" t="s">
        <v>66</v>
      </c>
      <c r="N10" t="s">
        <v>69</v>
      </c>
    </row>
    <row r="11" spans="1:24" x14ac:dyDescent="0.25">
      <c r="D11" s="3" t="s">
        <v>61</v>
      </c>
      <c r="E11" t="s">
        <v>62</v>
      </c>
      <c r="F11" s="3"/>
      <c r="H11" s="3" t="s">
        <v>61</v>
      </c>
      <c r="I11" t="s">
        <v>62</v>
      </c>
      <c r="J11" s="3"/>
      <c r="K11" s="3"/>
      <c r="L11" s="3"/>
      <c r="M11" s="3"/>
      <c r="N11" s="3" t="s">
        <v>61</v>
      </c>
      <c r="O11" t="s">
        <v>62</v>
      </c>
      <c r="P11" s="3"/>
      <c r="Q11" s="3"/>
      <c r="R11" s="3"/>
      <c r="S11" s="3"/>
      <c r="T11" s="3"/>
      <c r="U11" s="3"/>
      <c r="V11" s="3"/>
      <c r="W11" s="3"/>
      <c r="X11" s="3"/>
    </row>
    <row r="12" spans="1:24" x14ac:dyDescent="0.25">
      <c r="D12" s="4" t="s">
        <v>42</v>
      </c>
      <c r="E12" s="1">
        <v>2</v>
      </c>
      <c r="H12" s="4" t="s">
        <v>3</v>
      </c>
      <c r="I12" s="1">
        <v>4</v>
      </c>
      <c r="N12" s="4" t="s">
        <v>26</v>
      </c>
      <c r="O12" s="1">
        <v>3</v>
      </c>
    </row>
    <row r="13" spans="1:24" x14ac:dyDescent="0.25">
      <c r="D13" s="4" t="s">
        <v>43</v>
      </c>
      <c r="E13" s="1">
        <v>4</v>
      </c>
      <c r="H13" s="4" t="s">
        <v>51</v>
      </c>
      <c r="I13" s="1">
        <v>7</v>
      </c>
      <c r="N13" s="4" t="s">
        <v>51</v>
      </c>
      <c r="O13" s="1">
        <v>5</v>
      </c>
    </row>
    <row r="14" spans="1:24" x14ac:dyDescent="0.25">
      <c r="D14" s="4" t="s">
        <v>47</v>
      </c>
      <c r="E14" s="1">
        <v>1</v>
      </c>
      <c r="H14" s="4" t="s">
        <v>0</v>
      </c>
      <c r="I14" s="1">
        <v>9</v>
      </c>
      <c r="N14" s="4" t="s">
        <v>19</v>
      </c>
      <c r="O14" s="1">
        <v>3</v>
      </c>
    </row>
    <row r="15" spans="1:24" x14ac:dyDescent="0.25">
      <c r="D15" s="4" t="s">
        <v>40</v>
      </c>
      <c r="E15" s="1">
        <v>2</v>
      </c>
      <c r="H15" s="4" t="s">
        <v>60</v>
      </c>
      <c r="I15" s="1">
        <v>20</v>
      </c>
      <c r="N15" s="4" t="s">
        <v>20</v>
      </c>
      <c r="O15" s="1">
        <v>4</v>
      </c>
    </row>
    <row r="16" spans="1:24" x14ac:dyDescent="0.25">
      <c r="D16" s="4" t="s">
        <v>49</v>
      </c>
      <c r="E16" s="1">
        <v>1</v>
      </c>
      <c r="N16" s="4" t="s">
        <v>29</v>
      </c>
      <c r="O16" s="1">
        <v>2</v>
      </c>
    </row>
    <row r="17" spans="4:15" x14ac:dyDescent="0.25">
      <c r="D17" s="4" t="s">
        <v>46</v>
      </c>
      <c r="E17" s="1">
        <v>1</v>
      </c>
      <c r="N17" s="4" t="s">
        <v>35</v>
      </c>
      <c r="O17" s="1">
        <v>3</v>
      </c>
    </row>
    <row r="18" spans="4:15" x14ac:dyDescent="0.25">
      <c r="D18" s="4" t="s">
        <v>50</v>
      </c>
      <c r="E18" s="1">
        <v>1</v>
      </c>
      <c r="H18" s="4" t="s">
        <v>67</v>
      </c>
      <c r="N18" s="4" t="s">
        <v>60</v>
      </c>
      <c r="O18" s="1">
        <v>20</v>
      </c>
    </row>
    <row r="19" spans="4:15" x14ac:dyDescent="0.25">
      <c r="D19" s="4" t="s">
        <v>41</v>
      </c>
      <c r="E19" s="1">
        <v>2</v>
      </c>
      <c r="H19" s="3" t="s">
        <v>61</v>
      </c>
      <c r="I19" t="s">
        <v>62</v>
      </c>
    </row>
    <row r="20" spans="4:15" x14ac:dyDescent="0.25">
      <c r="D20" s="4" t="s">
        <v>44</v>
      </c>
      <c r="E20" s="1">
        <v>1</v>
      </c>
      <c r="H20" s="4" t="s">
        <v>3</v>
      </c>
      <c r="I20" s="1">
        <v>4</v>
      </c>
    </row>
    <row r="21" spans="4:15" x14ac:dyDescent="0.25">
      <c r="D21" s="4" t="s">
        <v>45</v>
      </c>
      <c r="E21" s="1">
        <v>1</v>
      </c>
      <c r="H21" s="4" t="s">
        <v>51</v>
      </c>
      <c r="I21" s="1">
        <v>7</v>
      </c>
    </row>
    <row r="22" spans="4:15" x14ac:dyDescent="0.25">
      <c r="D22" s="4" t="s">
        <v>2</v>
      </c>
      <c r="E22" s="1">
        <v>3</v>
      </c>
      <c r="H22" s="4" t="s">
        <v>0</v>
      </c>
      <c r="I22" s="1">
        <v>9</v>
      </c>
    </row>
    <row r="23" spans="4:15" x14ac:dyDescent="0.25">
      <c r="D23" s="4" t="s">
        <v>48</v>
      </c>
      <c r="E23" s="1">
        <v>1</v>
      </c>
      <c r="H23" s="4" t="s">
        <v>60</v>
      </c>
      <c r="I23" s="1">
        <v>20</v>
      </c>
    </row>
    <row r="24" spans="4:15" x14ac:dyDescent="0.25">
      <c r="D24" s="4" t="s">
        <v>60</v>
      </c>
      <c r="E24" s="1">
        <v>20</v>
      </c>
    </row>
    <row r="26" spans="4:15" x14ac:dyDescent="0.25">
      <c r="H26" s="4" t="s">
        <v>68</v>
      </c>
    </row>
    <row r="27" spans="4:15" x14ac:dyDescent="0.25">
      <c r="H27" s="3" t="s">
        <v>61</v>
      </c>
      <c r="I27" t="s">
        <v>62</v>
      </c>
    </row>
    <row r="28" spans="4:15" x14ac:dyDescent="0.25">
      <c r="H28" s="4" t="s">
        <v>3</v>
      </c>
      <c r="I28" s="1">
        <v>5</v>
      </c>
    </row>
    <row r="29" spans="4:15" x14ac:dyDescent="0.25">
      <c r="H29" s="4" t="s">
        <v>51</v>
      </c>
      <c r="I29" s="1">
        <v>7</v>
      </c>
    </row>
    <row r="30" spans="4:15" x14ac:dyDescent="0.25">
      <c r="H30" s="4" t="s">
        <v>0</v>
      </c>
      <c r="I30" s="1">
        <v>8</v>
      </c>
    </row>
    <row r="31" spans="4:15" x14ac:dyDescent="0.25">
      <c r="H31" s="4" t="s">
        <v>60</v>
      </c>
      <c r="I31" s="1">
        <v>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E0F070-213B-43A0-9E4A-0A6FC5D3E5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welcome</vt:lpstr>
      <vt:lpstr>Dashboard</vt:lpstr>
      <vt:lpstr>data</vt:lpstr>
      <vt:lpstr>lists</vt:lpstr>
      <vt:lpstr>pivot tables</vt:lpstr>
      <vt:lpstr>tbl_offboarding</vt:lpstr>
      <vt:lpstr>tbl_offborading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soumitra</dc:creator>
  <cp:lastModifiedBy>soumitra</cp:lastModifiedBy>
  <dcterms:created xsi:type="dcterms:W3CDTF">2025-09-24T10:53:56Z</dcterms:created>
  <dcterms:modified xsi:type="dcterms:W3CDTF">2025-09-24T21:03:07Z</dcterms:modified>
</cp:coreProperties>
</file>